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" i="1" l="1"/>
  <c r="S15" i="1"/>
  <c r="R15" i="1"/>
  <c r="Q15" i="1"/>
  <c r="P15" i="1"/>
  <c r="O15" i="1"/>
  <c r="T12" i="1"/>
  <c r="S12" i="1"/>
  <c r="R12" i="1"/>
  <c r="Q12" i="1"/>
  <c r="P12" i="1"/>
  <c r="O12" i="1"/>
  <c r="U12" i="1" l="1"/>
  <c r="V12" i="1" s="1"/>
  <c r="D12" i="1" s="1"/>
  <c r="U15" i="1"/>
  <c r="V15" i="1" s="1"/>
  <c r="D15" i="1" s="1"/>
  <c r="T18" i="1" l="1"/>
  <c r="S18" i="1"/>
  <c r="R18" i="1"/>
  <c r="Q18" i="1"/>
  <c r="P18" i="1"/>
  <c r="O18" i="1"/>
  <c r="T11" i="1"/>
  <c r="S11" i="1"/>
  <c r="R11" i="1"/>
  <c r="Q11" i="1"/>
  <c r="P11" i="1"/>
  <c r="O11" i="1"/>
  <c r="U18" i="1" l="1"/>
  <c r="V18" i="1" s="1"/>
  <c r="D18" i="1" s="1"/>
  <c r="U11" i="1"/>
  <c r="V11" i="1" s="1"/>
  <c r="D11" i="1" s="1"/>
  <c r="T17" i="1"/>
  <c r="T14" i="1"/>
  <c r="T10" i="1"/>
  <c r="S17" i="1" l="1"/>
  <c r="R17" i="1"/>
  <c r="Q17" i="1"/>
  <c r="P17" i="1"/>
  <c r="O17" i="1"/>
  <c r="S14" i="1"/>
  <c r="R14" i="1"/>
  <c r="Q14" i="1"/>
  <c r="P14" i="1"/>
  <c r="O14" i="1"/>
  <c r="U17" i="1" l="1"/>
  <c r="V17" i="1" s="1"/>
  <c r="F17" i="1" s="1"/>
  <c r="U14" i="1"/>
  <c r="V14" i="1" s="1"/>
  <c r="F14" i="1" s="1"/>
  <c r="D17" i="1" l="1"/>
  <c r="D14" i="1"/>
  <c r="Q10" i="1" l="1"/>
  <c r="P10" i="1"/>
  <c r="O10" i="1"/>
  <c r="S10" i="1" l="1"/>
  <c r="R10" i="1" l="1"/>
  <c r="U10" i="1" s="1"/>
  <c r="V10" i="1" s="1"/>
  <c r="F10" i="1" s="1"/>
  <c r="F20" i="1" l="1"/>
  <c r="D10" i="1"/>
</calcChain>
</file>

<file path=xl/sharedStrings.xml><?xml version="1.0" encoding="utf-8"?>
<sst xmlns="http://schemas.openxmlformats.org/spreadsheetml/2006/main" count="58" uniqueCount="39">
  <si>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</si>
  <si>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</si>
  <si>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</si>
  <si>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</si>
  <si>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</si>
  <si>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</si>
  <si>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</si>
  <si>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</si>
  <si>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</si>
  <si>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</si>
  <si>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</si>
  <si>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</si>
  <si>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</si>
  <si>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</si>
  <si>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</si>
  <si>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</si>
  <si>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</si>
  <si>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</si>
  <si>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</si>
  <si>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</si>
  <si>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</si>
  <si>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</si>
  <si>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</si>
  <si>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</si>
  <si>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</si>
  <si>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</si>
  <si>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RELIABILITY</t>
  </si>
  <si>
    <t>USABILITY</t>
  </si>
  <si>
    <t>AGREE</t>
  </si>
  <si>
    <t>OVERALL WEIGHTED MEAN</t>
  </si>
  <si>
    <t>B</t>
  </si>
  <si>
    <t>FUNCTIONAL SUITABILITY</t>
  </si>
  <si>
    <t>I can approve driver applications.</t>
  </si>
  <si>
    <t>I can monitor ride activities.</t>
  </si>
  <si>
    <t>I can manage user accounts.</t>
  </si>
  <si>
    <t>The dashboard is easy to use.</t>
  </si>
  <si>
    <t>Reports are easy to generate.</t>
  </si>
  <si>
    <t>Records are accurate.</t>
  </si>
  <si>
    <t>Data updates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</si>
</sst>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06"/>
  <sheetViews>
    <sheetView tabSelected="1" topLeftCell="B7" zoomScale="85" zoomScaleNormal="85" workbookViewId="0">
      <selection activeCell="R39" sqref="R39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36" t="s">
        <v>13</v>
      </c>
      <c r="E3" s="36"/>
      <c r="F3" s="36"/>
      <c r="G3" s="36"/>
      <c r="H3" s="36"/>
    </row>
    <row r="4" spans="2:24" x14ac:dyDescent="0.25">
      <c r="D4" s="36" t="s">
        <v>23</v>
      </c>
      <c r="E4" s="36"/>
      <c r="F4" s="36"/>
      <c r="G4" s="36"/>
      <c r="H4" s="36"/>
      <c r="I4" s="3"/>
    </row>
    <row r="5" spans="2:24" x14ac:dyDescent="0.25">
      <c r="D5" s="36" t="s">
        <v>15</v>
      </c>
      <c r="E5" s="36"/>
      <c r="F5" s="36"/>
      <c r="G5" s="36"/>
      <c r="H5" s="36"/>
      <c r="I5" s="3"/>
    </row>
    <row r="6" spans="2:24" x14ac:dyDescent="0.25">
      <c r="D6" s="36" t="s">
        <v>14</v>
      </c>
      <c r="E6" s="36"/>
      <c r="F6" s="36"/>
      <c r="G6" s="36"/>
      <c r="H6" s="36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1" t="s">
        <v>10</v>
      </c>
      <c r="U8" s="31" t="s">
        <v>20</v>
      </c>
      <c r="V8" s="31" t="s">
        <v>11</v>
      </c>
      <c r="W8" s="37" t="s">
        <v>21</v>
      </c>
      <c r="X8" s="46" t="s">
        <v>22</v>
      </c>
    </row>
    <row r="9" spans="2:24" ht="37.5" customHeight="1" x14ac:dyDescent="0.25">
      <c r="B9" s="41" t="s">
        <v>25</v>
      </c>
      <c r="C9" s="42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32"/>
      <c r="U9" s="32"/>
      <c r="V9" s="32"/>
      <c r="W9" s="31"/>
      <c r="X9" s="47"/>
    </row>
    <row r="10" spans="2:24" ht="33.75" customHeight="1" x14ac:dyDescent="0.25">
      <c r="B10" s="35" t="s">
        <v>31</v>
      </c>
      <c r="C10" s="30" t="s">
        <v>32</v>
      </c>
      <c r="D10" s="14">
        <f>V10</f>
        <v>5</v>
      </c>
      <c r="E10" s="33">
        <v>3</v>
      </c>
      <c r="F10" s="34">
        <f>SUM(V10:V12)/3</f>
        <v>5</v>
      </c>
      <c r="G10" s="35" t="s">
        <v>19</v>
      </c>
      <c r="H10" s="2"/>
      <c r="I10" s="30">
        <v>1</v>
      </c>
      <c r="J10" s="30">
        <v>0</v>
      </c>
      <c r="K10" s="30">
        <v>0</v>
      </c>
      <c r="L10" s="30">
        <v>0</v>
      </c>
      <c r="M10" s="30">
        <v>0</v>
      </c>
      <c r="N10" s="16"/>
      <c r="O10" s="15">
        <f>I10*5</f>
        <v>5</v>
      </c>
      <c r="P10" s="15">
        <f>J10*4</f>
        <v>0</v>
      </c>
      <c r="Q10" s="13">
        <f>K10*3</f>
        <v>0</v>
      </c>
      <c r="R10" s="13">
        <f>L10*2</f>
        <v>0</v>
      </c>
      <c r="S10" s="13">
        <f t="shared" ref="S10" si="0">M10*1</f>
        <v>0</v>
      </c>
      <c r="T10" s="13">
        <f>SUM(I10:M10)</f>
        <v>1</v>
      </c>
      <c r="U10" s="13">
        <f>SUM(O10:S10)</f>
        <v>5</v>
      </c>
      <c r="V10" s="17">
        <f>U10/T10</f>
        <v>5</v>
      </c>
      <c r="W10" s="26" t="s">
        <v>19</v>
      </c>
      <c r="X10" s="13">
        <v>2</v>
      </c>
    </row>
    <row r="11" spans="2:24" ht="33" customHeight="1" x14ac:dyDescent="0.25">
      <c r="B11" s="35"/>
      <c r="C11" s="30" t="s">
        <v>33</v>
      </c>
      <c r="D11" s="21">
        <f t="shared" ref="D11:D12" si="1">V11</f>
        <v>5</v>
      </c>
      <c r="E11" s="33"/>
      <c r="F11" s="34"/>
      <c r="G11" s="35"/>
      <c r="H11" s="2"/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16"/>
      <c r="O11" s="15">
        <f t="shared" ref="O11" si="2">I11*5</f>
        <v>5</v>
      </c>
      <c r="P11" s="15">
        <f t="shared" ref="P11" si="3">J11*4</f>
        <v>0</v>
      </c>
      <c r="Q11" s="13">
        <f t="shared" ref="Q11" si="4">K11*3</f>
        <v>0</v>
      </c>
      <c r="R11" s="13">
        <f t="shared" ref="R11" si="5">L11*2</f>
        <v>0</v>
      </c>
      <c r="S11" s="13">
        <f t="shared" ref="S11" si="6">M11*1</f>
        <v>0</v>
      </c>
      <c r="T11" s="13">
        <f t="shared" ref="T11" si="7">SUM(I11:M11)</f>
        <v>1</v>
      </c>
      <c r="U11" s="13">
        <f t="shared" ref="U11" si="8">SUM(O11:S11)</f>
        <v>5</v>
      </c>
      <c r="V11" s="17">
        <f t="shared" ref="V11" si="9">U11/T11</f>
        <v>5</v>
      </c>
      <c r="W11" s="26" t="s">
        <v>19</v>
      </c>
      <c r="X11" s="13">
        <v>2</v>
      </c>
    </row>
    <row r="12" spans="2:24" ht="29.25" customHeight="1" x14ac:dyDescent="0.25">
      <c r="B12" s="35"/>
      <c r="C12" s="30" t="s">
        <v>34</v>
      </c>
      <c r="D12" s="21">
        <f t="shared" si="1"/>
        <v>5</v>
      </c>
      <c r="E12" s="33"/>
      <c r="F12" s="34"/>
      <c r="G12" s="35"/>
      <c r="H12" s="2"/>
      <c r="I12" s="30">
        <v>1</v>
      </c>
      <c r="J12" s="30">
        <v>0</v>
      </c>
      <c r="K12" s="30">
        <v>0</v>
      </c>
      <c r="L12" s="30">
        <v>0</v>
      </c>
      <c r="M12" s="30">
        <v>0</v>
      </c>
      <c r="N12" s="16"/>
      <c r="O12" s="15">
        <f t="shared" ref="O12" si="10">I12*5</f>
        <v>5</v>
      </c>
      <c r="P12" s="15">
        <f t="shared" ref="P12" si="11">J12*4</f>
        <v>0</v>
      </c>
      <c r="Q12" s="20">
        <f t="shared" ref="Q12" si="12">K12*3</f>
        <v>0</v>
      </c>
      <c r="R12" s="20">
        <f t="shared" ref="R12" si="13">L12*2</f>
        <v>0</v>
      </c>
      <c r="S12" s="20">
        <f t="shared" ref="S12" si="14">M12*1</f>
        <v>0</v>
      </c>
      <c r="T12" s="20">
        <f t="shared" ref="T12" si="15">SUM(I12:M12)</f>
        <v>1</v>
      </c>
      <c r="U12" s="20">
        <f t="shared" ref="U12" si="16">SUM(O12:S12)</f>
        <v>5</v>
      </c>
      <c r="V12" s="17">
        <f t="shared" ref="V12" si="17">U12/T12</f>
        <v>5</v>
      </c>
      <c r="W12" s="20" t="s">
        <v>19</v>
      </c>
      <c r="X12" s="20">
        <v>2</v>
      </c>
    </row>
    <row r="13" spans="2:24" ht="9.75" customHeight="1" x14ac:dyDescent="0.25"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2:24" ht="24.95" customHeight="1" x14ac:dyDescent="0.25">
      <c r="B14" s="35" t="s">
        <v>26</v>
      </c>
      <c r="C14" s="30" t="s">
        <v>37</v>
      </c>
      <c r="D14" s="14">
        <f t="shared" ref="D14:D15" si="18">V14</f>
        <v>4</v>
      </c>
      <c r="E14" s="33">
        <v>2</v>
      </c>
      <c r="F14" s="34">
        <f>SUM(V14:V15)/2</f>
        <v>4</v>
      </c>
      <c r="G14" s="35" t="s">
        <v>28</v>
      </c>
      <c r="H14" s="2"/>
      <c r="I14" s="30">
        <v>0</v>
      </c>
      <c r="J14" s="30">
        <v>1</v>
      </c>
      <c r="K14" s="30">
        <v>0</v>
      </c>
      <c r="L14" s="30">
        <v>0</v>
      </c>
      <c r="M14" s="30">
        <v>0</v>
      </c>
      <c r="N14" s="16"/>
      <c r="O14" s="15">
        <f>I14*5</f>
        <v>0</v>
      </c>
      <c r="P14" s="15">
        <f>J14*4</f>
        <v>4</v>
      </c>
      <c r="Q14" s="13">
        <f>K14*3</f>
        <v>0</v>
      </c>
      <c r="R14" s="13">
        <f>L14*2</f>
        <v>0</v>
      </c>
      <c r="S14" s="13">
        <f t="shared" ref="S14" si="19">M14*1</f>
        <v>0</v>
      </c>
      <c r="T14" s="13">
        <f t="shared" ref="T14:T17" si="20">SUM(I14:M14)</f>
        <v>1</v>
      </c>
      <c r="U14" s="13">
        <f t="shared" ref="U14" si="21">SUM(O14:S14)</f>
        <v>4</v>
      </c>
      <c r="V14" s="17">
        <f t="shared" ref="V14" si="22">U14/T14</f>
        <v>4</v>
      </c>
      <c r="W14" s="30" t="s">
        <v>28</v>
      </c>
      <c r="X14" s="13">
        <v>1.5</v>
      </c>
    </row>
    <row r="15" spans="2:24" ht="24.95" customHeight="1" x14ac:dyDescent="0.25">
      <c r="B15" s="35"/>
      <c r="C15" s="30" t="s">
        <v>38</v>
      </c>
      <c r="D15" s="21">
        <f t="shared" si="18"/>
        <v>4</v>
      </c>
      <c r="E15" s="33"/>
      <c r="F15" s="34"/>
      <c r="G15" s="35"/>
      <c r="H15" s="2"/>
      <c r="I15" s="30">
        <v>0</v>
      </c>
      <c r="J15" s="30">
        <v>1</v>
      </c>
      <c r="K15" s="30">
        <v>0</v>
      </c>
      <c r="L15" s="30">
        <v>0</v>
      </c>
      <c r="M15" s="30">
        <v>0</v>
      </c>
      <c r="N15" s="16"/>
      <c r="O15" s="15">
        <f t="shared" ref="O15" si="23">I15*5</f>
        <v>0</v>
      </c>
      <c r="P15" s="15">
        <f t="shared" ref="P15" si="24">J15*4</f>
        <v>4</v>
      </c>
      <c r="Q15" s="20">
        <f t="shared" ref="Q15" si="25">K15*3</f>
        <v>0</v>
      </c>
      <c r="R15" s="20">
        <f t="shared" ref="R15" si="26">L15*2</f>
        <v>0</v>
      </c>
      <c r="S15" s="20">
        <f t="shared" ref="S15" si="27">M15*1</f>
        <v>0</v>
      </c>
      <c r="T15" s="20">
        <f t="shared" ref="T15" si="28">SUM(I15:M15)</f>
        <v>1</v>
      </c>
      <c r="U15" s="20">
        <f t="shared" ref="U15" si="29">SUM(O15:S15)</f>
        <v>4</v>
      </c>
      <c r="V15" s="17">
        <f t="shared" ref="V15" si="30">U15/T15</f>
        <v>4</v>
      </c>
      <c r="W15" s="30" t="s">
        <v>28</v>
      </c>
      <c r="X15" s="20">
        <v>1.5</v>
      </c>
    </row>
    <row r="16" spans="2:24" ht="9" customHeight="1" x14ac:dyDescent="0.25"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5"/>
    </row>
    <row r="17" spans="2:24" ht="24.95" customHeight="1" x14ac:dyDescent="0.25">
      <c r="B17" s="35" t="s">
        <v>27</v>
      </c>
      <c r="C17" s="30" t="s">
        <v>35</v>
      </c>
      <c r="D17" s="21">
        <f t="shared" ref="D17:D18" si="31">V17</f>
        <v>5</v>
      </c>
      <c r="E17" s="33">
        <v>2</v>
      </c>
      <c r="F17" s="34">
        <f>SUM(V17:V18)/2</f>
        <v>5</v>
      </c>
      <c r="G17" s="35" t="s">
        <v>19</v>
      </c>
      <c r="H17" s="2"/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16"/>
      <c r="O17" s="15">
        <f>I17*5</f>
        <v>5</v>
      </c>
      <c r="P17" s="15">
        <f>J17*4</f>
        <v>0</v>
      </c>
      <c r="Q17" s="13">
        <f>K17*3</f>
        <v>0</v>
      </c>
      <c r="R17" s="13">
        <f>L17*2</f>
        <v>0</v>
      </c>
      <c r="S17" s="13">
        <f t="shared" ref="S17:S18" si="32">M17*1</f>
        <v>0</v>
      </c>
      <c r="T17" s="13">
        <f t="shared" si="20"/>
        <v>1</v>
      </c>
      <c r="U17" s="13">
        <f t="shared" ref="U17" si="33">SUM(O17:S17)</f>
        <v>5</v>
      </c>
      <c r="V17" s="17">
        <f t="shared" ref="V17" si="34">U17/T17</f>
        <v>5</v>
      </c>
      <c r="W17" s="26" t="s">
        <v>19</v>
      </c>
      <c r="X17" s="25">
        <v>1.5</v>
      </c>
    </row>
    <row r="18" spans="2:24" ht="24.95" customHeight="1" x14ac:dyDescent="0.25">
      <c r="B18" s="35"/>
      <c r="C18" s="30" t="s">
        <v>36</v>
      </c>
      <c r="D18" s="21">
        <f t="shared" si="31"/>
        <v>5</v>
      </c>
      <c r="E18" s="33"/>
      <c r="F18" s="34"/>
      <c r="G18" s="35"/>
      <c r="H18" s="2"/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16"/>
      <c r="O18" s="15">
        <f>I18*5</f>
        <v>5</v>
      </c>
      <c r="P18" s="15">
        <f>J18*4</f>
        <v>0</v>
      </c>
      <c r="Q18" s="13">
        <f>K18*3</f>
        <v>0</v>
      </c>
      <c r="R18" s="13">
        <f>L18*2</f>
        <v>0</v>
      </c>
      <c r="S18" s="13">
        <f t="shared" si="32"/>
        <v>0</v>
      </c>
      <c r="T18" s="13">
        <f>SUM(I18:M18)</f>
        <v>1</v>
      </c>
      <c r="U18" s="13">
        <f>SUM(O18:S18)</f>
        <v>5</v>
      </c>
      <c r="V18" s="17">
        <f>U18/T18</f>
        <v>5</v>
      </c>
      <c r="W18" s="30" t="s">
        <v>19</v>
      </c>
      <c r="X18" s="26">
        <v>1.5</v>
      </c>
    </row>
    <row r="19" spans="2:24" ht="14.25" customHeight="1" x14ac:dyDescent="0.25">
      <c r="B19" s="22"/>
      <c r="C19" s="23"/>
      <c r="D19" s="27"/>
      <c r="E19" s="28"/>
      <c r="F19" s="27"/>
      <c r="G19" s="23"/>
      <c r="I19" s="23"/>
      <c r="J19" s="23"/>
      <c r="K19" s="23"/>
      <c r="L19" s="23"/>
      <c r="M19" s="23"/>
      <c r="O19" s="3"/>
      <c r="P19" s="3"/>
      <c r="Q19" s="23"/>
      <c r="R19" s="23"/>
      <c r="S19" s="23"/>
      <c r="T19" s="23"/>
      <c r="U19" s="23"/>
      <c r="V19" s="29"/>
      <c r="W19" s="23"/>
      <c r="X19" s="24"/>
    </row>
    <row r="20" spans="2:24" ht="27" customHeight="1" x14ac:dyDescent="0.25">
      <c r="B20" s="38" t="s">
        <v>29</v>
      </c>
      <c r="C20" s="39"/>
      <c r="D20" s="39"/>
      <c r="E20" s="40"/>
      <c r="F20" s="18">
        <f>SUM(F10,F14,F17)/3</f>
        <v>4.666666666666667</v>
      </c>
      <c r="G20" s="19" t="s">
        <v>19</v>
      </c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40"/>
    </row>
    <row r="21" spans="2:24" x14ac:dyDescent="0.25">
      <c r="I21" s="3"/>
    </row>
    <row r="22" spans="2:24" x14ac:dyDescent="0.25">
      <c r="I22" s="3"/>
    </row>
    <row r="23" spans="2:24" x14ac:dyDescent="0.25">
      <c r="I23" s="3"/>
    </row>
    <row r="24" spans="2:24" x14ac:dyDescent="0.25">
      <c r="I24" s="3"/>
    </row>
    <row r="25" spans="2:24" x14ac:dyDescent="0.25">
      <c r="I25" s="3"/>
    </row>
    <row r="26" spans="2:24" x14ac:dyDescent="0.25">
      <c r="I26" s="3"/>
    </row>
    <row r="27" spans="2:24" x14ac:dyDescent="0.25">
      <c r="I27" s="3"/>
    </row>
    <row r="28" spans="2:24" x14ac:dyDescent="0.25">
      <c r="I28" s="3"/>
    </row>
    <row r="29" spans="2:24" x14ac:dyDescent="0.25">
      <c r="I29" s="3"/>
    </row>
    <row r="30" spans="2:24" x14ac:dyDescent="0.25">
      <c r="I30" s="3"/>
    </row>
    <row r="31" spans="2:24" x14ac:dyDescent="0.25">
      <c r="I31" s="3"/>
    </row>
    <row r="32" spans="2:24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14" x14ac:dyDescent="0.25">
      <c r="I49" s="3"/>
    </row>
    <row r="50" spans="9:14" x14ac:dyDescent="0.25">
      <c r="I50" s="3"/>
    </row>
    <row r="51" spans="9:14" x14ac:dyDescent="0.25">
      <c r="I51" s="3"/>
    </row>
    <row r="52" spans="9:14" x14ac:dyDescent="0.25">
      <c r="I52" s="3"/>
    </row>
    <row r="53" spans="9:14" x14ac:dyDescent="0.25">
      <c r="I53" s="3"/>
    </row>
    <row r="54" spans="9:14" x14ac:dyDescent="0.25">
      <c r="I54" s="3"/>
    </row>
    <row r="55" spans="9:14" x14ac:dyDescent="0.25">
      <c r="I55" s="3"/>
    </row>
    <row r="56" spans="9:14" x14ac:dyDescent="0.25">
      <c r="I56" s="3"/>
    </row>
    <row r="57" spans="9:14" x14ac:dyDescent="0.25">
      <c r="I57" s="3"/>
    </row>
    <row r="58" spans="9:14" x14ac:dyDescent="0.25">
      <c r="I58" s="3"/>
    </row>
    <row r="59" spans="9:14" x14ac:dyDescent="0.25">
      <c r="I59" s="3"/>
    </row>
    <row r="60" spans="9:14" x14ac:dyDescent="0.25">
      <c r="I60" s="3"/>
    </row>
    <row r="61" spans="9:14" x14ac:dyDescent="0.25">
      <c r="I61" s="3"/>
    </row>
    <row r="62" spans="9:14" x14ac:dyDescent="0.25">
      <c r="I62" s="3"/>
    </row>
    <row r="63" spans="9:14" x14ac:dyDescent="0.25">
      <c r="I63" s="3"/>
    </row>
    <row r="64" spans="9:14" x14ac:dyDescent="0.25">
      <c r="I64" s="3"/>
      <c r="N64" s="3" t="s">
        <v>30</v>
      </c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3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3"/>
    </row>
    <row r="90" spans="9:9" x14ac:dyDescent="0.25">
      <c r="I90" s="3"/>
    </row>
    <row r="91" spans="9:9" x14ac:dyDescent="0.25">
      <c r="I91" s="3"/>
    </row>
    <row r="92" spans="9:9" x14ac:dyDescent="0.25">
      <c r="I92" s="3"/>
    </row>
    <row r="93" spans="9:9" x14ac:dyDescent="0.25">
      <c r="I93" s="3"/>
    </row>
    <row r="94" spans="9:9" x14ac:dyDescent="0.25">
      <c r="I94" s="3"/>
    </row>
    <row r="95" spans="9:9" x14ac:dyDescent="0.25">
      <c r="I95" s="3"/>
    </row>
    <row r="96" spans="9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</sheetData>
  <mergeCells count="26">
    <mergeCell ref="W8:W9"/>
    <mergeCell ref="H20:X20"/>
    <mergeCell ref="B20:E20"/>
    <mergeCell ref="B9:C9"/>
    <mergeCell ref="B16:X16"/>
    <mergeCell ref="B13:X13"/>
    <mergeCell ref="B17:B18"/>
    <mergeCell ref="E17:E18"/>
    <mergeCell ref="F17:F18"/>
    <mergeCell ref="X8:X9"/>
    <mergeCell ref="D3:H3"/>
    <mergeCell ref="D4:H4"/>
    <mergeCell ref="D5:H5"/>
    <mergeCell ref="D6:H6"/>
    <mergeCell ref="T8:T9"/>
    <mergeCell ref="B10:B12"/>
    <mergeCell ref="B14:B15"/>
    <mergeCell ref="G17:G18"/>
    <mergeCell ref="E14:E15"/>
    <mergeCell ref="F14:F15"/>
    <mergeCell ref="G14:G15"/>
    <mergeCell ref="V8:V9"/>
    <mergeCell ref="U8:U9"/>
    <mergeCell ref="E10:E12"/>
    <mergeCell ref="F10:F12"/>
    <mergeCell ref="G10:G12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2026-09-11T05:44:42Z</dcterms:modified>
</cp:coreProperties>
</file>