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525" windowWidth="9255" windowHeight="6090"/>
  </bookViews>
  <sheets>
    <sheet name="Instructions" sheetId="1" r:id="rId1"/>
    <sheet name="Passenger Responses" sheetId="2" r:id="rId2"/>
    <sheet name="Driver Responses" sheetId="3" r:id="rId3"/>
    <sheet name="Admin Responses" sheetId="4" r:id="rId4"/>
    <sheet name="Tally - Passenger" sheetId="5" r:id="rId5"/>
    <sheet name="Tally - Driver" sheetId="6" r:id="rId6"/>
    <sheet name="Tally - Admin" sheetId="7" r:id="rId7"/>
  </sheets>
  <calcPr calcId="144525"/>
</workbook>
</file>

<file path=xl/calcChain.xml><?xml version="1.0" encoding="utf-8"?>
<calcChain xmlns="http://schemas.openxmlformats.org/spreadsheetml/2006/main">
  <c r="H18" i="7" l="1"/>
  <c r="I18" i="7" s="1"/>
  <c r="J18" i="7" s="1"/>
  <c r="G18" i="7"/>
  <c r="F18" i="7"/>
  <c r="E18" i="7"/>
  <c r="D18" i="7"/>
  <c r="C18" i="7"/>
  <c r="H17" i="7"/>
  <c r="I17" i="7" s="1"/>
  <c r="G17" i="7"/>
  <c r="F17" i="7"/>
  <c r="E17" i="7"/>
  <c r="D17" i="7"/>
  <c r="C17" i="7"/>
  <c r="H13" i="7"/>
  <c r="G13" i="7"/>
  <c r="F13" i="7"/>
  <c r="E13" i="7"/>
  <c r="D13" i="7"/>
  <c r="C13" i="7"/>
  <c r="H12" i="7"/>
  <c r="G12" i="7"/>
  <c r="F12" i="7"/>
  <c r="E12" i="7"/>
  <c r="D12" i="7"/>
  <c r="C12" i="7"/>
  <c r="H8" i="7"/>
  <c r="I8" i="7" s="1"/>
  <c r="J8" i="7" s="1"/>
  <c r="G8" i="7"/>
  <c r="F8" i="7"/>
  <c r="E8" i="7"/>
  <c r="D8" i="7"/>
  <c r="C8" i="7"/>
  <c r="H7" i="7"/>
  <c r="I7" i="7" s="1"/>
  <c r="J7" i="7" s="1"/>
  <c r="G7" i="7"/>
  <c r="F7" i="7"/>
  <c r="E7" i="7"/>
  <c r="D7" i="7"/>
  <c r="C7" i="7"/>
  <c r="H6" i="7"/>
  <c r="G6" i="7"/>
  <c r="F6" i="7"/>
  <c r="E6" i="7"/>
  <c r="D6" i="7"/>
  <c r="C6" i="7"/>
  <c r="H34" i="6"/>
  <c r="G34" i="6"/>
  <c r="F34" i="6"/>
  <c r="E34" i="6"/>
  <c r="D34" i="6"/>
  <c r="C34" i="6"/>
  <c r="H33" i="6"/>
  <c r="G33" i="6"/>
  <c r="F33" i="6"/>
  <c r="E33" i="6"/>
  <c r="D33" i="6"/>
  <c r="C33" i="6"/>
  <c r="H32" i="6"/>
  <c r="G32" i="6"/>
  <c r="F32" i="6"/>
  <c r="E32" i="6"/>
  <c r="D32" i="6"/>
  <c r="C32" i="6"/>
  <c r="H31" i="6"/>
  <c r="G31" i="6"/>
  <c r="F31" i="6"/>
  <c r="E31" i="6"/>
  <c r="D31" i="6"/>
  <c r="C31" i="6"/>
  <c r="H30" i="6"/>
  <c r="G30" i="6"/>
  <c r="F30" i="6"/>
  <c r="E30" i="6"/>
  <c r="D30" i="6"/>
  <c r="C30" i="6"/>
  <c r="H26" i="6"/>
  <c r="G26" i="6"/>
  <c r="F26" i="6"/>
  <c r="E26" i="6"/>
  <c r="D26" i="6"/>
  <c r="C26" i="6"/>
  <c r="H25" i="6"/>
  <c r="G25" i="6"/>
  <c r="F25" i="6"/>
  <c r="E25" i="6"/>
  <c r="D25" i="6"/>
  <c r="C25" i="6"/>
  <c r="H24" i="6"/>
  <c r="G24" i="6"/>
  <c r="F24" i="6"/>
  <c r="E24" i="6"/>
  <c r="D24" i="6"/>
  <c r="C24" i="6"/>
  <c r="H23" i="6"/>
  <c r="G23" i="6"/>
  <c r="F23" i="6"/>
  <c r="E23" i="6"/>
  <c r="D23" i="6"/>
  <c r="C23" i="6"/>
  <c r="H22" i="6"/>
  <c r="G22" i="6"/>
  <c r="F22" i="6"/>
  <c r="E22" i="6"/>
  <c r="D22" i="6"/>
  <c r="C22" i="6"/>
  <c r="H18" i="6"/>
  <c r="G18" i="6"/>
  <c r="F18" i="6"/>
  <c r="E18" i="6"/>
  <c r="D18" i="6"/>
  <c r="C18" i="6"/>
  <c r="H17" i="6"/>
  <c r="G17" i="6"/>
  <c r="F17" i="6"/>
  <c r="E17" i="6"/>
  <c r="D17" i="6"/>
  <c r="C17" i="6"/>
  <c r="H16" i="6"/>
  <c r="G16" i="6"/>
  <c r="F16" i="6"/>
  <c r="E16" i="6"/>
  <c r="D16" i="6"/>
  <c r="C16" i="6"/>
  <c r="H15" i="6"/>
  <c r="G15" i="6"/>
  <c r="F15" i="6"/>
  <c r="E15" i="6"/>
  <c r="D15" i="6"/>
  <c r="C15" i="6"/>
  <c r="H14" i="6"/>
  <c r="G14" i="6"/>
  <c r="F14" i="6"/>
  <c r="E14" i="6"/>
  <c r="D14" i="6"/>
  <c r="C14" i="6"/>
  <c r="H10" i="6"/>
  <c r="G10" i="6"/>
  <c r="F10" i="6"/>
  <c r="E10" i="6"/>
  <c r="D10" i="6"/>
  <c r="C10" i="6"/>
  <c r="H9" i="6"/>
  <c r="G9" i="6"/>
  <c r="F9" i="6"/>
  <c r="E9" i="6"/>
  <c r="D9" i="6"/>
  <c r="C9" i="6"/>
  <c r="H8" i="6"/>
  <c r="G8" i="6"/>
  <c r="F8" i="6"/>
  <c r="E8" i="6"/>
  <c r="D8" i="6"/>
  <c r="C8" i="6"/>
  <c r="H7" i="6"/>
  <c r="G7" i="6"/>
  <c r="F7" i="6"/>
  <c r="E7" i="6"/>
  <c r="D7" i="6"/>
  <c r="C7" i="6"/>
  <c r="H6" i="6"/>
  <c r="G6" i="6"/>
  <c r="F6" i="6"/>
  <c r="E6" i="6"/>
  <c r="D6" i="6"/>
  <c r="C6" i="6"/>
  <c r="H54" i="5"/>
  <c r="G54" i="5"/>
  <c r="F54" i="5"/>
  <c r="E54" i="5"/>
  <c r="D54" i="5"/>
  <c r="C54" i="5"/>
  <c r="H53" i="5"/>
  <c r="G53" i="5"/>
  <c r="F53" i="5"/>
  <c r="E53" i="5"/>
  <c r="D53" i="5"/>
  <c r="C53" i="5"/>
  <c r="H52" i="5"/>
  <c r="G52" i="5"/>
  <c r="F52" i="5"/>
  <c r="E52" i="5"/>
  <c r="D52" i="5"/>
  <c r="C52" i="5"/>
  <c r="H51" i="5"/>
  <c r="G51" i="5"/>
  <c r="F51" i="5"/>
  <c r="E51" i="5"/>
  <c r="D51" i="5"/>
  <c r="C51" i="5"/>
  <c r="H50" i="5"/>
  <c r="G50" i="5"/>
  <c r="F50" i="5"/>
  <c r="E50" i="5"/>
  <c r="D50" i="5"/>
  <c r="C50" i="5"/>
  <c r="H46" i="5"/>
  <c r="G46" i="5"/>
  <c r="F46" i="5"/>
  <c r="E46" i="5"/>
  <c r="D46" i="5"/>
  <c r="C46" i="5"/>
  <c r="H45" i="5"/>
  <c r="G45" i="5"/>
  <c r="F45" i="5"/>
  <c r="E45" i="5"/>
  <c r="D45" i="5"/>
  <c r="C45" i="5"/>
  <c r="H44" i="5"/>
  <c r="G44" i="5"/>
  <c r="F44" i="5"/>
  <c r="E44" i="5"/>
  <c r="D44" i="5"/>
  <c r="C44" i="5"/>
  <c r="H43" i="5"/>
  <c r="G43" i="5"/>
  <c r="F43" i="5"/>
  <c r="E43" i="5"/>
  <c r="D43" i="5"/>
  <c r="C43" i="5"/>
  <c r="H42" i="5"/>
  <c r="G42" i="5"/>
  <c r="F42" i="5"/>
  <c r="E42" i="5"/>
  <c r="D42" i="5"/>
  <c r="C42" i="5"/>
  <c r="H38" i="5"/>
  <c r="G38" i="5"/>
  <c r="F38" i="5"/>
  <c r="E38" i="5"/>
  <c r="D38" i="5"/>
  <c r="C38" i="5"/>
  <c r="H37" i="5"/>
  <c r="G37" i="5"/>
  <c r="F37" i="5"/>
  <c r="E37" i="5"/>
  <c r="D37" i="5"/>
  <c r="C37" i="5"/>
  <c r="H36" i="5"/>
  <c r="G36" i="5"/>
  <c r="F36" i="5"/>
  <c r="E36" i="5"/>
  <c r="D36" i="5"/>
  <c r="C36" i="5"/>
  <c r="H35" i="5"/>
  <c r="G35" i="5"/>
  <c r="F35" i="5"/>
  <c r="E35" i="5"/>
  <c r="D35" i="5"/>
  <c r="C35" i="5"/>
  <c r="H34" i="5"/>
  <c r="G34" i="5"/>
  <c r="F34" i="5"/>
  <c r="E34" i="5"/>
  <c r="D34" i="5"/>
  <c r="C34" i="5"/>
  <c r="H30" i="5"/>
  <c r="G30" i="5"/>
  <c r="F30" i="5"/>
  <c r="E30" i="5"/>
  <c r="D30" i="5"/>
  <c r="C30" i="5"/>
  <c r="H29" i="5"/>
  <c r="G29" i="5"/>
  <c r="F29" i="5"/>
  <c r="E29" i="5"/>
  <c r="D29" i="5"/>
  <c r="C29" i="5"/>
  <c r="H28" i="5"/>
  <c r="G28" i="5"/>
  <c r="F28" i="5"/>
  <c r="E28" i="5"/>
  <c r="D28" i="5"/>
  <c r="C28" i="5"/>
  <c r="H27" i="5"/>
  <c r="G27" i="5"/>
  <c r="F27" i="5"/>
  <c r="E27" i="5"/>
  <c r="D27" i="5"/>
  <c r="C27" i="5"/>
  <c r="H26" i="5"/>
  <c r="G26" i="5"/>
  <c r="F26" i="5"/>
  <c r="E26" i="5"/>
  <c r="D26" i="5"/>
  <c r="C26" i="5"/>
  <c r="H22" i="5"/>
  <c r="G22" i="5"/>
  <c r="F22" i="5"/>
  <c r="E22" i="5"/>
  <c r="D22" i="5"/>
  <c r="C22" i="5"/>
  <c r="H21" i="5"/>
  <c r="G21" i="5"/>
  <c r="F21" i="5"/>
  <c r="E21" i="5"/>
  <c r="D21" i="5"/>
  <c r="C21" i="5"/>
  <c r="H20" i="5"/>
  <c r="G20" i="5"/>
  <c r="F20" i="5"/>
  <c r="E20" i="5"/>
  <c r="D20" i="5"/>
  <c r="C20" i="5"/>
  <c r="H19" i="5"/>
  <c r="G19" i="5"/>
  <c r="F19" i="5"/>
  <c r="E19" i="5"/>
  <c r="D19" i="5"/>
  <c r="C19" i="5"/>
  <c r="H18" i="5"/>
  <c r="G18" i="5"/>
  <c r="F18" i="5"/>
  <c r="E18" i="5"/>
  <c r="D18" i="5"/>
  <c r="C18" i="5"/>
  <c r="H17" i="5"/>
  <c r="G17" i="5"/>
  <c r="F17" i="5"/>
  <c r="E17" i="5"/>
  <c r="D17" i="5"/>
  <c r="C17" i="5"/>
  <c r="H13" i="5"/>
  <c r="G13" i="5"/>
  <c r="F13" i="5"/>
  <c r="E13" i="5"/>
  <c r="D13" i="5"/>
  <c r="C13" i="5"/>
  <c r="H12" i="5"/>
  <c r="G12" i="5"/>
  <c r="F12" i="5"/>
  <c r="E12" i="5"/>
  <c r="D12" i="5"/>
  <c r="C12" i="5"/>
  <c r="H11" i="5"/>
  <c r="G11" i="5"/>
  <c r="F11" i="5"/>
  <c r="E11" i="5"/>
  <c r="D11" i="5"/>
  <c r="C11" i="5"/>
  <c r="H10" i="5"/>
  <c r="G10" i="5"/>
  <c r="F10" i="5"/>
  <c r="E10" i="5"/>
  <c r="D10" i="5"/>
  <c r="C10" i="5"/>
  <c r="H9" i="5"/>
  <c r="G9" i="5"/>
  <c r="F9" i="5"/>
  <c r="E9" i="5"/>
  <c r="D9" i="5"/>
  <c r="C9" i="5"/>
  <c r="H8" i="5"/>
  <c r="G8" i="5"/>
  <c r="F8" i="5"/>
  <c r="E8" i="5"/>
  <c r="D8" i="5"/>
  <c r="C8" i="5"/>
  <c r="H7" i="5"/>
  <c r="G7" i="5"/>
  <c r="F7" i="5"/>
  <c r="E7" i="5"/>
  <c r="D7" i="5"/>
  <c r="C7" i="5"/>
  <c r="H6" i="5"/>
  <c r="G6" i="5"/>
  <c r="F6" i="5"/>
  <c r="E6" i="5"/>
  <c r="D6" i="5"/>
  <c r="C6" i="5"/>
  <c r="I13" i="7" l="1"/>
  <c r="J13" i="7" s="1"/>
  <c r="I12" i="7"/>
  <c r="I6" i="7"/>
  <c r="J6" i="7" s="1"/>
  <c r="I30" i="6"/>
  <c r="J30" i="6" s="1"/>
  <c r="I24" i="6"/>
  <c r="J24" i="6" s="1"/>
  <c r="I34" i="6"/>
  <c r="J34" i="6" s="1"/>
  <c r="I33" i="6"/>
  <c r="J33" i="6" s="1"/>
  <c r="I32" i="6"/>
  <c r="J32" i="6" s="1"/>
  <c r="I31" i="6"/>
  <c r="J31" i="6" s="1"/>
  <c r="I26" i="6"/>
  <c r="J26" i="6" s="1"/>
  <c r="I25" i="6"/>
  <c r="J25" i="6" s="1"/>
  <c r="I23" i="6"/>
  <c r="J23" i="6" s="1"/>
  <c r="I22" i="6"/>
  <c r="J22" i="6" s="1"/>
  <c r="I18" i="6"/>
  <c r="J18" i="6" s="1"/>
  <c r="I17" i="6"/>
  <c r="J17" i="6" s="1"/>
  <c r="I16" i="6"/>
  <c r="J16" i="6" s="1"/>
  <c r="I14" i="6"/>
  <c r="J14" i="6" s="1"/>
  <c r="I15" i="6"/>
  <c r="J15" i="6" s="1"/>
  <c r="I10" i="6"/>
  <c r="J10" i="6" s="1"/>
  <c r="I9" i="6"/>
  <c r="J9" i="6" s="1"/>
  <c r="I8" i="6"/>
  <c r="J8" i="6" s="1"/>
  <c r="I7" i="6"/>
  <c r="J7" i="6" s="1"/>
  <c r="I6" i="6"/>
  <c r="J6" i="6" s="1"/>
  <c r="I46" i="5"/>
  <c r="J46" i="5" s="1"/>
  <c r="I21" i="5"/>
  <c r="J21" i="5" s="1"/>
  <c r="I54" i="5"/>
  <c r="J54" i="5" s="1"/>
  <c r="I53" i="5"/>
  <c r="J53" i="5" s="1"/>
  <c r="I52" i="5"/>
  <c r="J52" i="5" s="1"/>
  <c r="I51" i="5"/>
  <c r="J51" i="5" s="1"/>
  <c r="I50" i="5"/>
  <c r="J50" i="5" s="1"/>
  <c r="I45" i="5"/>
  <c r="J45" i="5" s="1"/>
  <c r="I44" i="5"/>
  <c r="J44" i="5" s="1"/>
  <c r="I43" i="5"/>
  <c r="J43" i="5" s="1"/>
  <c r="I42" i="5"/>
  <c r="J42" i="5" s="1"/>
  <c r="I38" i="5"/>
  <c r="J38" i="5" s="1"/>
  <c r="I37" i="5"/>
  <c r="J37" i="5" s="1"/>
  <c r="I36" i="5"/>
  <c r="J36" i="5" s="1"/>
  <c r="I35" i="5"/>
  <c r="J35" i="5" s="1"/>
  <c r="I34" i="5"/>
  <c r="J34" i="5" s="1"/>
  <c r="I30" i="5"/>
  <c r="J30" i="5" s="1"/>
  <c r="I29" i="5"/>
  <c r="J29" i="5" s="1"/>
  <c r="I28" i="5"/>
  <c r="J28" i="5" s="1"/>
  <c r="I27" i="5"/>
  <c r="J27" i="5" s="1"/>
  <c r="I26" i="5"/>
  <c r="J26" i="5" s="1"/>
  <c r="I22" i="5"/>
  <c r="J22" i="5" s="1"/>
  <c r="I20" i="5"/>
  <c r="J20" i="5" s="1"/>
  <c r="I19" i="5"/>
  <c r="J19" i="5" s="1"/>
  <c r="I18" i="5"/>
  <c r="J18" i="5" s="1"/>
  <c r="I13" i="5"/>
  <c r="J13" i="5" s="1"/>
  <c r="I12" i="5"/>
  <c r="J12" i="5" s="1"/>
  <c r="I10" i="5"/>
  <c r="J10" i="5" s="1"/>
  <c r="I9" i="5"/>
  <c r="J9" i="5" s="1"/>
  <c r="I8" i="5"/>
  <c r="J8" i="5" s="1"/>
  <c r="I7" i="5"/>
  <c r="J7" i="5" s="1"/>
  <c r="I6" i="5"/>
  <c r="J6" i="5" s="1"/>
  <c r="I17" i="5"/>
  <c r="I11" i="5"/>
  <c r="J11" i="5" s="1"/>
  <c r="I19" i="7"/>
  <c r="J19" i="7" s="1"/>
  <c r="J17" i="7"/>
  <c r="I9" i="7"/>
  <c r="I14" i="7" l="1"/>
  <c r="J14" i="7" s="1"/>
  <c r="J12" i="7"/>
  <c r="I35" i="6"/>
  <c r="J35" i="6" s="1"/>
  <c r="I27" i="6"/>
  <c r="J27" i="6" s="1"/>
  <c r="I19" i="6"/>
  <c r="J19" i="6" s="1"/>
  <c r="I11" i="6"/>
  <c r="J11" i="6" s="1"/>
  <c r="I55" i="5"/>
  <c r="J55" i="5" s="1"/>
  <c r="I47" i="5"/>
  <c r="J47" i="5" s="1"/>
  <c r="I39" i="5"/>
  <c r="J39" i="5" s="1"/>
  <c r="I31" i="5"/>
  <c r="J31" i="5" s="1"/>
  <c r="I23" i="5"/>
  <c r="J23" i="5" s="1"/>
  <c r="I14" i="5"/>
  <c r="J17" i="5"/>
  <c r="I21" i="7"/>
  <c r="J21" i="7" s="1"/>
  <c r="J9" i="7"/>
  <c r="I37" i="6" l="1"/>
  <c r="J37" i="6" s="1"/>
  <c r="I57" i="5"/>
  <c r="J57" i="5" s="1"/>
  <c r="J14" i="5"/>
</calcChain>
</file>

<file path=xl/sharedStrings.xml><?xml version="1.0" encoding="utf-8"?>
<sst xmlns="http://schemas.openxmlformats.org/spreadsheetml/2006/main" count="582" uniqueCount="216">
  <si>
    <t>TrikRide — Survey Tally Workbook</t>
  </si>
  <si>
    <t>A Smart Tricycle Ride and Driver Onboarding System for Talibon Polytechnic College</t>
  </si>
  <si>
    <t>Transcribed from Mumar_Capstone_Revised_2.docx. Every count and mean on the tally sheets is a formula — type the raw responses and the tallies fill themselves in.</t>
  </si>
  <si>
    <t>How to use it</t>
  </si>
  <si>
    <t>1.</t>
  </si>
  <si>
    <t>Enter one questionnaire per row on the matching Responses sheet. Passengers, drivers and the administrator each have their own sheet, because they answered different instruments.</t>
  </si>
  <si>
    <t>2.</t>
  </si>
  <si>
    <t>Put a whole number 1 to 5 in each item column — the weight the respondent ticked. Leave a cell blank if they skipped that item; blanks are excluded from that item's mean rather than counted as zero.</t>
  </si>
  <si>
    <t>3.</t>
  </si>
  <si>
    <t>Row 5 of each Responses sheet is a worked example, shaded yellow. Delete that row before you tally — it is outside the formula range, so it will not affect the results either way.</t>
  </si>
  <si>
    <t>4.</t>
  </si>
  <si>
    <t>Read the results on the three Tally sheets. Nothing there needs typing.</t>
  </si>
  <si>
    <t>5.</t>
  </si>
  <si>
    <t>Type the written answers on the Open-Ended sheet, one row per respondent.</t>
  </si>
  <si>
    <t>Rating scale, as printed on the questionnaire</t>
  </si>
  <si>
    <t>Weight</t>
  </si>
  <si>
    <t>Weighted Mean</t>
  </si>
  <si>
    <t>Response</t>
  </si>
  <si>
    <t>4.21 - 5.00</t>
  </si>
  <si>
    <t>Strongly Agree</t>
  </si>
  <si>
    <t>3.41 - 4.20</t>
  </si>
  <si>
    <t>Agree</t>
  </si>
  <si>
    <t>2.61 - 3.40</t>
  </si>
  <si>
    <t>Neutral</t>
  </si>
  <si>
    <t>1.81 - 2.60</t>
  </si>
  <si>
    <t>Disagree</t>
  </si>
  <si>
    <t>1.00 - 1.80</t>
  </si>
  <si>
    <t>Strongly Disagree</t>
  </si>
  <si>
    <t>What is in this workbook</t>
  </si>
  <si>
    <t>Passenger Responses</t>
  </si>
  <si>
    <t>Profile + 34 items (Part II, A to F)</t>
  </si>
  <si>
    <t>Driver Responses</t>
  </si>
  <si>
    <t>Profile + 20 items (the separate driver instrument)</t>
  </si>
  <si>
    <t>Admin Responses</t>
  </si>
  <si>
    <t>Profile + 7 items (Part III)</t>
  </si>
  <si>
    <t>Tally - Passenger</t>
  </si>
  <si>
    <t>Counts, weighted mean and interpretation per item</t>
  </si>
  <si>
    <t>Tally - Driver</t>
  </si>
  <si>
    <t>The same, for drivers</t>
  </si>
  <si>
    <t>Tally - Admin</t>
  </si>
  <si>
    <t>The same, for the administrator</t>
  </si>
  <si>
    <t>Open-Ended</t>
  </si>
  <si>
    <t>The written answers, verbatim</t>
  </si>
  <si>
    <t>One thing to fix before printing</t>
  </si>
  <si>
    <t>Part II, section B (Usability) lists "The system is easy to learn." twice — as item 1 and again as item 6. It is kept here exactly as printed so the sheet matches the paper, but asking the same question twice pulls that section's mean toward whatever respondents think of that one statement. Replace item 6 on the questionnaire and on the Passenger Responses and Tally - Passenger sheets, or delete it from all three.</t>
  </si>
  <si>
    <t>Source: Mumar_Capstone_Revised_2.docx, Survey Questionnaire (Parts I to IV) and the driver instrument that follows it.</t>
  </si>
  <si>
    <t>One row per student/passenger respondent. Item columns take a whole number 1-5; the full statement is printed sideways above each one.</t>
  </si>
  <si>
    <t>The ride booking feature works as expected.</t>
  </si>
  <si>
    <t>I receive timely notifications about my ride status.</t>
  </si>
  <si>
    <t>The system accurately matches me with an available driver.</t>
  </si>
  <si>
    <t>I can view the status of my booking in real time.</t>
  </si>
  <si>
    <t>The system performs all its intended functions correctly.</t>
  </si>
  <si>
    <t>The fare displayed is accurate.</t>
  </si>
  <si>
    <t>Driver information is correctly displayed.</t>
  </si>
  <si>
    <t>Ride history is properly recorded.</t>
  </si>
  <si>
    <t>The system is easy to learn.</t>
  </si>
  <si>
    <t>The menus are easy to understand.</t>
  </si>
  <si>
    <t>Icons and buttons are properly labeled.</t>
  </si>
  <si>
    <t>The interface is visually appealing.</t>
  </si>
  <si>
    <t>I can complete my tasks without confusion.</t>
  </si>
  <si>
    <t>The application loads quickly.</t>
  </si>
  <si>
    <t>Booking requests are processed immediately.</t>
  </si>
  <si>
    <t>Notifications arrive without delay.</t>
  </si>
  <si>
    <t>The system performs smoothly.</t>
  </si>
  <si>
    <t>The application consumes minimal mobile resources.</t>
  </si>
  <si>
    <t>The system recovers properly after connection interruptions.</t>
  </si>
  <si>
    <t>I can depend on the system to connect me with a driver when needed.</t>
  </si>
  <si>
    <t>The system maintains accurate and up-to-date information.</t>
  </si>
  <si>
    <t>The system performs well even during peak hours.</t>
  </si>
  <si>
    <t>I trust the system to provide a safe and reliable ride booking experience.</t>
  </si>
  <si>
    <t>I feel that my personal information is protected.</t>
  </si>
  <si>
    <t>The login process is secure.</t>
  </si>
  <si>
    <t>Only authorized users can access their accounts.</t>
  </si>
  <si>
    <t>Driver information is securely stored.</t>
  </si>
  <si>
    <t>I trust the system to protect my data.</t>
  </si>
  <si>
    <t>I am satisfied with the overall performance of the system.</t>
  </si>
  <si>
    <t>I would recommend this system to others.</t>
  </si>
  <si>
    <t>I intend to continue using the system.</t>
  </si>
  <si>
    <t>The system meets my expectations.</t>
  </si>
  <si>
    <t>Overall, I rate the system as effective.</t>
  </si>
  <si>
    <t>Respondent No.</t>
  </si>
  <si>
    <t>Name (optional)</t>
  </si>
  <si>
    <t>Age</t>
  </si>
  <si>
    <t>Gender</t>
  </si>
  <si>
    <t>Course</t>
  </si>
  <si>
    <t>Year Level</t>
  </si>
  <si>
    <t>Frequency of using tricycles</t>
  </si>
  <si>
    <t>Average rides per week</t>
  </si>
  <si>
    <t>A1</t>
  </si>
  <si>
    <t>A2</t>
  </si>
  <si>
    <t>A3</t>
  </si>
  <si>
    <t>A4</t>
  </si>
  <si>
    <t>A5</t>
  </si>
  <si>
    <t>A6</t>
  </si>
  <si>
    <t>A7</t>
  </si>
  <si>
    <t>A8</t>
  </si>
  <si>
    <t>B1</t>
  </si>
  <si>
    <t>B2</t>
  </si>
  <si>
    <t>B3</t>
  </si>
  <si>
    <t>B4</t>
  </si>
  <si>
    <t>B5</t>
  </si>
  <si>
    <t>B6</t>
  </si>
  <si>
    <t>C1</t>
  </si>
  <si>
    <t>C2</t>
  </si>
  <si>
    <t>C3</t>
  </si>
  <si>
    <t>C4</t>
  </si>
  <si>
    <t>C5</t>
  </si>
  <si>
    <t>D1</t>
  </si>
  <si>
    <t>D2</t>
  </si>
  <si>
    <t>D3</t>
  </si>
  <si>
    <t>D4</t>
  </si>
  <si>
    <t>D5</t>
  </si>
  <si>
    <t>E1</t>
  </si>
  <si>
    <t>E2</t>
  </si>
  <si>
    <t>E3</t>
  </si>
  <si>
    <t>E4</t>
  </si>
  <si>
    <t>E5</t>
  </si>
  <si>
    <t>F1</t>
  </si>
  <si>
    <t>F2</t>
  </si>
  <si>
    <t>F3</t>
  </si>
  <si>
    <t>F4</t>
  </si>
  <si>
    <t>F5</t>
  </si>
  <si>
    <t>EXAMPLE - delete</t>
  </si>
  <si>
    <t>Juan Dela Cruz</t>
  </si>
  <si>
    <t>Female</t>
  </si>
  <si>
    <t>BSIS</t>
  </si>
  <si>
    <t>3rd Year</t>
  </si>
  <si>
    <t>Often</t>
  </si>
  <si>
    <t>6-10</t>
  </si>
  <si>
    <t>One row per tricycle driver respondent, using the driver instrument.</t>
  </si>
  <si>
    <t>The system is easy to navigate and use.</t>
  </si>
  <si>
    <t>The interface is clean and visually understandable.</t>
  </si>
  <si>
    <t>I was able to register and set up my account without difficulty.</t>
  </si>
  <si>
    <t>The instructions and labels in the system are clear and easy to understand.</t>
  </si>
  <si>
    <t>I can comfortably use the system without any technical assistance.</t>
  </si>
  <si>
    <t>The ride request feature works as expected.</t>
  </si>
  <si>
    <t>I receive timely notifications about incoming ride requests.</t>
  </si>
  <si>
    <t>The system accurately shows my availability status to passengers.</t>
  </si>
  <si>
    <t>I can manage and track my rides through the system in real time.</t>
  </si>
  <si>
    <t>The system reduces my idle time waiting for passengers.</t>
  </si>
  <si>
    <t>Managing ride requests through the system is faster than the manual process.</t>
  </si>
  <si>
    <t>The system responds quickly to my inputs and actions.</t>
  </si>
  <si>
    <t>The system helps me serve more passengers throughout the day.</t>
  </si>
  <si>
    <t>Overall, the system improves my daily work experience as a driver.</t>
  </si>
  <si>
    <t>The system works consistently without errors or crashes.</t>
  </si>
  <si>
    <t>I can depend on the system to deliver ride requests accurately.</t>
  </si>
  <si>
    <t>The system performs well even during busy hours.</t>
  </si>
  <si>
    <t>I trust the system to support my work as a registered driver.</t>
  </si>
  <si>
    <t>Years of driving experience</t>
  </si>
  <si>
    <t>Owns smartphone</t>
  </si>
  <si>
    <t>Internet access</t>
  </si>
  <si>
    <t>Average trips per day</t>
  </si>
  <si>
    <t>Pedro Santos</t>
  </si>
  <si>
    <t>Male</t>
  </si>
  <si>
    <t>4-6 years</t>
  </si>
  <si>
    <t>Yes</t>
  </si>
  <si>
    <t>11-15</t>
  </si>
  <si>
    <t>Part III, answered by the system administrator.</t>
  </si>
  <si>
    <t>I can approve driver applications.</t>
  </si>
  <si>
    <t>I can monitor ride activities.</t>
  </si>
  <si>
    <t>I can manage user accounts.</t>
  </si>
  <si>
    <t>The dashboard is easy to use.</t>
  </si>
  <si>
    <t>Reports are easy to generate.</t>
  </si>
  <si>
    <t>Records are accurate.</t>
  </si>
  <si>
    <t>Data updates correctly.</t>
  </si>
  <si>
    <t>Maria Reyes</t>
  </si>
  <si>
    <t>Every figure is a formula reading 'Passenger Responses' rows 6-205. Nothing on this sheet needs typing.</t>
  </si>
  <si>
    <t>#</t>
  </si>
  <si>
    <t>Indicator</t>
  </si>
  <si>
    <t>5</t>
  </si>
  <si>
    <t>4</t>
  </si>
  <si>
    <t>3</t>
  </si>
  <si>
    <t>2</t>
  </si>
  <si>
    <t>1</t>
  </si>
  <si>
    <t>N</t>
  </si>
  <si>
    <t>Interpretation</t>
  </si>
  <si>
    <t>A. Functional Suitability</t>
  </si>
  <si>
    <t>Category mean — A. Functional Suitability</t>
  </si>
  <si>
    <t>B. Usability</t>
  </si>
  <si>
    <t>Category mean — B. Usability</t>
  </si>
  <si>
    <t>C. Efficiency</t>
  </si>
  <si>
    <t>Category mean — C. Efficiency</t>
  </si>
  <si>
    <t>D. Reliability</t>
  </si>
  <si>
    <t>Category mean — D. Reliability</t>
  </si>
  <si>
    <t>E. Security</t>
  </si>
  <si>
    <t>Category mean — E. Security</t>
  </si>
  <si>
    <t>F. Overall Satisfaction</t>
  </si>
  <si>
    <t>Category mean — F. Overall Satisfaction</t>
  </si>
  <si>
    <t>OVERALL WEIGHTED MEAN</t>
  </si>
  <si>
    <t>The overall mean averages the category means, so each characteristic counts equally regardless of how many items it has. Average column I of the items instead if your statistician wants every item weighted equally.</t>
  </si>
  <si>
    <t>Every figure is a formula reading 'Driver Responses' rows 6-205. Nothing on this sheet needs typing.</t>
  </si>
  <si>
    <t>A. Usability</t>
  </si>
  <si>
    <t>Category mean — A. Usability</t>
  </si>
  <si>
    <t>B. Functionality</t>
  </si>
  <si>
    <t>Category mean — B. Functionality</t>
  </si>
  <si>
    <t>Every figure is a formula reading 'Admin Responses' rows 6-205. Nothing on this sheet needs typing.</t>
  </si>
  <si>
    <t>C. Reliability</t>
  </si>
  <si>
    <t>Category mean — C. Reliability</t>
  </si>
  <si>
    <t>BSAIS</t>
  </si>
  <si>
    <t>2nd Year</t>
  </si>
  <si>
    <t>Sometimes</t>
  </si>
  <si>
    <t>1 -- 5</t>
  </si>
  <si>
    <t>BSA</t>
  </si>
  <si>
    <t>11 -- 15</t>
  </si>
  <si>
    <t>BECED</t>
  </si>
  <si>
    <t>Rarely</t>
  </si>
  <si>
    <t>1st Year</t>
  </si>
  <si>
    <t>Every Day</t>
  </si>
  <si>
    <t>16 - 20</t>
  </si>
  <si>
    <t>6 -- 10</t>
  </si>
  <si>
    <t>More than 10 years</t>
  </si>
  <si>
    <t>21 or more</t>
  </si>
  <si>
    <t>7 - 10 years</t>
  </si>
  <si>
    <t>1 - 3 years</t>
  </si>
  <si>
    <t>Less than 1 year</t>
  </si>
  <si>
    <t>4 - 6 years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</si>
</sst>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4"/>
      <name val="Arial"/>
    </font>
    <font>
      <sz val="10"/>
      <name val="Arial"/>
    </font>
    <font>
      <i/>
      <sz val="9"/>
      <color rgb="FF666666"/>
      <name val="Arial"/>
    </font>
    <font>
      <b/>
      <sz val="11"/>
      <name val="Arial"/>
    </font>
    <font>
      <b/>
      <sz val="11"/>
      <color rgb="FFFFFFFF"/>
      <name val="Arial"/>
    </font>
    <font>
      <b/>
      <sz val="10"/>
      <name val="Arial"/>
    </font>
    <font>
      <b/>
      <sz val="10"/>
      <color rgb="FFFFFFFF"/>
      <name val="Arial"/>
    </font>
  </fonts>
  <fills count="5">
    <fill>
      <patternFill patternType="none"/>
    </fill>
    <fill>
      <patternFill patternType="gray125"/>
    </fill>
    <fill>
      <patternFill patternType="solid">
        <fgColor rgb="FF1B5E20"/>
      </patternFill>
    </fill>
    <fill>
      <patternFill patternType="solid">
        <fgColor rgb="FFFFF2CC"/>
      </patternFill>
    </fill>
    <fill>
      <patternFill patternType="solid">
        <fgColor rgb="FFD9EAD3"/>
      </patternFill>
    </fill>
  </fills>
  <borders count="4">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38">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horizontal="left" vertical="top"/>
    </xf>
    <xf numFmtId="0" fontId="2" fillId="0" borderId="0" xfId="0" applyFont="1" applyAlignment="1">
      <alignment horizontal="right" vertical="top"/>
    </xf>
    <xf numFmtId="0" fontId="5" fillId="2" borderId="1" xfId="0" applyFont="1" applyFill="1" applyBorder="1" applyAlignment="1">
      <alignment horizontal="left" vertical="top"/>
    </xf>
    <xf numFmtId="0" fontId="2" fillId="0" borderId="1" xfId="0" applyFont="1" applyBorder="1" applyAlignment="1">
      <alignment horizontal="left" vertical="top"/>
    </xf>
    <xf numFmtId="0" fontId="6" fillId="0" borderId="0" xfId="0" applyFont="1" applyAlignment="1">
      <alignment horizontal="left" vertical="top"/>
    </xf>
    <xf numFmtId="0" fontId="1" fillId="0" borderId="0" xfId="0" applyFont="1"/>
    <xf numFmtId="0" fontId="3" fillId="0" borderId="0" xfId="0" applyFont="1"/>
    <xf numFmtId="0" fontId="3" fillId="0" borderId="0" xfId="0" applyFont="1" applyAlignment="1">
      <alignment horizontal="center" textRotation="90"/>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2" fillId="3" borderId="1" xfId="0" applyFont="1" applyFill="1" applyBorder="1" applyAlignment="1">
      <alignment horizontal="center"/>
    </xf>
    <xf numFmtId="0" fontId="2" fillId="0" borderId="1" xfId="0" applyFont="1" applyBorder="1"/>
    <xf numFmtId="0" fontId="2" fillId="0" borderId="1" xfId="0" applyFont="1" applyBorder="1" applyAlignment="1">
      <alignment horizontal="center"/>
    </xf>
    <xf numFmtId="0" fontId="7"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2" fontId="2" fillId="0" borderId="1" xfId="0" applyNumberFormat="1" applyFont="1" applyBorder="1" applyAlignment="1">
      <alignment horizontal="center" vertical="center"/>
    </xf>
    <xf numFmtId="0" fontId="0" fillId="4" borderId="1" xfId="0" applyFill="1" applyBorder="1"/>
    <xf numFmtId="0" fontId="6" fillId="4" borderId="1" xfId="0" applyFont="1" applyFill="1" applyBorder="1" applyAlignment="1">
      <alignment horizontal="right"/>
    </xf>
    <xf numFmtId="0" fontId="0" fillId="4" borderId="1" xfId="0" applyFill="1" applyBorder="1" applyAlignment="1">
      <alignment horizontal="center"/>
    </xf>
    <xf numFmtId="2" fontId="6" fillId="4" borderId="1" xfId="0" applyNumberFormat="1" applyFont="1" applyFill="1" applyBorder="1" applyAlignment="1">
      <alignment horizontal="center"/>
    </xf>
    <xf numFmtId="0" fontId="6" fillId="4" borderId="1" xfId="0" applyFont="1" applyFill="1" applyBorder="1" applyAlignment="1">
      <alignment horizontal="center"/>
    </xf>
    <xf numFmtId="0" fontId="0" fillId="3" borderId="1" xfId="0" applyFill="1" applyBorder="1"/>
    <xf numFmtId="0" fontId="4" fillId="3" borderId="1" xfId="0" applyFont="1" applyFill="1" applyBorder="1" applyAlignment="1">
      <alignment horizontal="right"/>
    </xf>
    <xf numFmtId="0" fontId="0" fillId="3" borderId="1" xfId="0" applyFill="1" applyBorder="1" applyAlignment="1">
      <alignment horizontal="center"/>
    </xf>
    <xf numFmtId="2" fontId="4" fillId="3" borderId="1" xfId="0" applyNumberFormat="1" applyFont="1" applyFill="1" applyBorder="1" applyAlignment="1">
      <alignment horizontal="center"/>
    </xf>
    <xf numFmtId="0" fontId="4" fillId="3" borderId="1" xfId="0" applyFont="1" applyFill="1" applyBorder="1" applyAlignment="1">
      <alignment horizontal="center"/>
    </xf>
    <xf numFmtId="0" fontId="2" fillId="0" borderId="0" xfId="0" applyFont="1" applyAlignment="1">
      <alignment horizontal="left" vertical="top" wrapText="1"/>
    </xf>
    <xf numFmtId="0" fontId="0" fillId="0" borderId="0" xfId="0"/>
    <xf numFmtId="0" fontId="3" fillId="0" borderId="0" xfId="0" applyFont="1" applyAlignment="1">
      <alignment horizontal="left" vertical="top" wrapText="1"/>
    </xf>
    <xf numFmtId="0" fontId="6" fillId="4" borderId="1" xfId="0" applyFont="1" applyFill="1" applyBorder="1"/>
    <xf numFmtId="0" fontId="0" fillId="0" borderId="2" xfId="0" applyBorder="1"/>
    <xf numFmtId="0" fontId="0" fillId="0" borderId="3" xfId="0" applyBorder="1"/>
    <xf numFmtId="0" fontId="3" fillId="0" borderId="0" xfId="0" applyFont="1"/>
    <xf numFmtId="16" fontId="2" fillId="0" borderId="1"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3"/>
  <sheetViews>
    <sheetView showGridLines="0" tabSelected="1" workbookViewId="0"/>
  </sheetViews>
  <sheetFormatPr defaultRowHeight="15" x14ac:dyDescent="0.25"/>
  <cols>
    <col min="1" max="1" width="3" customWidth="1"/>
    <col min="2" max="2" width="30" customWidth="1"/>
    <col min="3" max="3" width="22" customWidth="1"/>
    <col min="4" max="5" width="26" customWidth="1"/>
  </cols>
  <sheetData>
    <row r="2" spans="2:5" ht="18" x14ac:dyDescent="0.25">
      <c r="B2" s="1" t="s">
        <v>0</v>
      </c>
    </row>
    <row r="3" spans="2:5" x14ac:dyDescent="0.25">
      <c r="B3" s="2" t="s">
        <v>1</v>
      </c>
    </row>
    <row r="4" spans="2:5" ht="30" customHeight="1" x14ac:dyDescent="0.25">
      <c r="B4" s="32" t="s">
        <v>2</v>
      </c>
      <c r="C4" s="31"/>
      <c r="D4" s="31"/>
      <c r="E4" s="31"/>
    </row>
    <row r="6" spans="2:5" x14ac:dyDescent="0.25">
      <c r="B6" s="3" t="s">
        <v>3</v>
      </c>
    </row>
    <row r="7" spans="2:5" ht="42" customHeight="1" x14ac:dyDescent="0.25">
      <c r="B7" s="4" t="s">
        <v>4</v>
      </c>
      <c r="C7" s="30" t="s">
        <v>5</v>
      </c>
      <c r="D7" s="31"/>
      <c r="E7" s="31"/>
    </row>
    <row r="8" spans="2:5" ht="42" customHeight="1" x14ac:dyDescent="0.25">
      <c r="B8" s="4" t="s">
        <v>6</v>
      </c>
      <c r="C8" s="30" t="s">
        <v>7</v>
      </c>
      <c r="D8" s="31"/>
      <c r="E8" s="31"/>
    </row>
    <row r="9" spans="2:5" ht="42" customHeight="1" x14ac:dyDescent="0.25">
      <c r="B9" s="4" t="s">
        <v>8</v>
      </c>
      <c r="C9" s="30" t="s">
        <v>9</v>
      </c>
      <c r="D9" s="31"/>
      <c r="E9" s="31"/>
    </row>
    <row r="10" spans="2:5" ht="42" customHeight="1" x14ac:dyDescent="0.25">
      <c r="B10" s="4" t="s">
        <v>10</v>
      </c>
      <c r="C10" s="30" t="s">
        <v>11</v>
      </c>
      <c r="D10" s="31"/>
      <c r="E10" s="31"/>
    </row>
    <row r="11" spans="2:5" ht="42" customHeight="1" x14ac:dyDescent="0.25">
      <c r="B11" s="4" t="s">
        <v>12</v>
      </c>
      <c r="C11" s="30" t="s">
        <v>13</v>
      </c>
      <c r="D11" s="31"/>
      <c r="E11" s="31"/>
    </row>
    <row r="13" spans="2:5" x14ac:dyDescent="0.25">
      <c r="B13" s="3" t="s">
        <v>14</v>
      </c>
    </row>
    <row r="14" spans="2:5" x14ac:dyDescent="0.25">
      <c r="B14" s="5" t="s">
        <v>15</v>
      </c>
      <c r="C14" s="5" t="s">
        <v>16</v>
      </c>
      <c r="D14" s="5" t="s">
        <v>17</v>
      </c>
    </row>
    <row r="15" spans="2:5" x14ac:dyDescent="0.25">
      <c r="B15" s="6">
        <v>5</v>
      </c>
      <c r="C15" s="6" t="s">
        <v>18</v>
      </c>
      <c r="D15" s="6" t="s">
        <v>19</v>
      </c>
    </row>
    <row r="16" spans="2:5" x14ac:dyDescent="0.25">
      <c r="B16" s="6">
        <v>4</v>
      </c>
      <c r="C16" s="6" t="s">
        <v>20</v>
      </c>
      <c r="D16" s="6" t="s">
        <v>21</v>
      </c>
    </row>
    <row r="17" spans="2:5" x14ac:dyDescent="0.25">
      <c r="B17" s="6">
        <v>3</v>
      </c>
      <c r="C17" s="6" t="s">
        <v>22</v>
      </c>
      <c r="D17" s="6" t="s">
        <v>23</v>
      </c>
    </row>
    <row r="18" spans="2:5" x14ac:dyDescent="0.25">
      <c r="B18" s="6">
        <v>2</v>
      </c>
      <c r="C18" s="6" t="s">
        <v>24</v>
      </c>
      <c r="D18" s="6" t="s">
        <v>25</v>
      </c>
    </row>
    <row r="19" spans="2:5" x14ac:dyDescent="0.25">
      <c r="B19" s="6">
        <v>1</v>
      </c>
      <c r="C19" s="6" t="s">
        <v>26</v>
      </c>
      <c r="D19" s="6" t="s">
        <v>27</v>
      </c>
    </row>
    <row r="21" spans="2:5" x14ac:dyDescent="0.25">
      <c r="B21" s="3" t="s">
        <v>28</v>
      </c>
    </row>
    <row r="22" spans="2:5" x14ac:dyDescent="0.25">
      <c r="B22" s="7" t="s">
        <v>29</v>
      </c>
      <c r="C22" s="30" t="s">
        <v>30</v>
      </c>
      <c r="D22" s="31"/>
      <c r="E22" s="31"/>
    </row>
    <row r="23" spans="2:5" x14ac:dyDescent="0.25">
      <c r="B23" s="7" t="s">
        <v>31</v>
      </c>
      <c r="C23" s="30" t="s">
        <v>32</v>
      </c>
      <c r="D23" s="31"/>
      <c r="E23" s="31"/>
    </row>
    <row r="24" spans="2:5" x14ac:dyDescent="0.25">
      <c r="B24" s="7" t="s">
        <v>33</v>
      </c>
      <c r="C24" s="30" t="s">
        <v>34</v>
      </c>
      <c r="D24" s="31"/>
      <c r="E24" s="31"/>
    </row>
    <row r="25" spans="2:5" x14ac:dyDescent="0.25">
      <c r="B25" s="7" t="s">
        <v>35</v>
      </c>
      <c r="C25" s="30" t="s">
        <v>36</v>
      </c>
      <c r="D25" s="31"/>
      <c r="E25" s="31"/>
    </row>
    <row r="26" spans="2:5" x14ac:dyDescent="0.25">
      <c r="B26" s="7" t="s">
        <v>37</v>
      </c>
      <c r="C26" s="30" t="s">
        <v>38</v>
      </c>
      <c r="D26" s="31"/>
      <c r="E26" s="31"/>
    </row>
    <row r="27" spans="2:5" x14ac:dyDescent="0.25">
      <c r="B27" s="7" t="s">
        <v>39</v>
      </c>
      <c r="C27" s="30" t="s">
        <v>40</v>
      </c>
      <c r="D27" s="31"/>
      <c r="E27" s="31"/>
    </row>
    <row r="28" spans="2:5" x14ac:dyDescent="0.25">
      <c r="B28" s="7" t="s">
        <v>41</v>
      </c>
      <c r="C28" s="30" t="s">
        <v>42</v>
      </c>
      <c r="D28" s="31"/>
      <c r="E28" s="31"/>
    </row>
    <row r="30" spans="2:5" x14ac:dyDescent="0.25">
      <c r="B30" s="3" t="s">
        <v>43</v>
      </c>
    </row>
    <row r="31" spans="2:5" ht="74.099999999999994" customHeight="1" x14ac:dyDescent="0.25">
      <c r="B31" s="30" t="s">
        <v>44</v>
      </c>
      <c r="C31" s="31"/>
      <c r="D31" s="31"/>
      <c r="E31" s="31"/>
    </row>
    <row r="33" spans="2:5" x14ac:dyDescent="0.25">
      <c r="B33" s="32" t="s">
        <v>45</v>
      </c>
      <c r="C33" s="31"/>
      <c r="D33" s="31"/>
      <c r="E33" s="31"/>
    </row>
  </sheetData>
  <mergeCells count="15">
    <mergeCell ref="B33:E33"/>
    <mergeCell ref="C26:E26"/>
    <mergeCell ref="C7:E7"/>
    <mergeCell ref="C25:E25"/>
    <mergeCell ref="C10:E10"/>
    <mergeCell ref="B4:E4"/>
    <mergeCell ref="C23:E23"/>
    <mergeCell ref="C22:E22"/>
    <mergeCell ref="C8:E8"/>
    <mergeCell ref="C9:E9"/>
    <mergeCell ref="B31:E31"/>
    <mergeCell ref="C24:E24"/>
    <mergeCell ref="C28:E28"/>
    <mergeCell ref="C11:E11"/>
    <mergeCell ref="C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5"/>
  <sheetViews>
    <sheetView showGridLines="0" workbookViewId="0">
      <pane xSplit="8" ySplit="5" topLeftCell="I9" activePane="bottomRight" state="frozen"/>
      <selection pane="topRight"/>
      <selection pane="bottomLeft"/>
      <selection pane="bottomRight" activeCell="F38" sqref="F38"/>
    </sheetView>
  </sheetViews>
  <sheetFormatPr defaultRowHeight="15" x14ac:dyDescent="0.25"/>
  <cols>
    <col min="1" max="1" width="12" customWidth="1"/>
    <col min="2" max="2" width="24" customWidth="1"/>
    <col min="3" max="3" width="7" customWidth="1"/>
    <col min="4" max="4" width="10" customWidth="1"/>
    <col min="5" max="6" width="12" customWidth="1"/>
    <col min="7" max="7" width="24" customWidth="1"/>
    <col min="8" max="8" width="20" customWidth="1"/>
    <col min="9" max="42" width="6" customWidth="1"/>
  </cols>
  <sheetData>
    <row r="1" spans="1:42" ht="18" x14ac:dyDescent="0.25">
      <c r="A1" s="8" t="s">
        <v>29</v>
      </c>
    </row>
    <row r="2" spans="1:42" x14ac:dyDescent="0.25">
      <c r="A2" s="9" t="s">
        <v>46</v>
      </c>
    </row>
    <row r="3" spans="1:42" ht="189.95" customHeight="1" x14ac:dyDescent="0.25">
      <c r="I3" s="10" t="s">
        <v>47</v>
      </c>
      <c r="J3" s="10" t="s">
        <v>48</v>
      </c>
      <c r="K3" s="10" t="s">
        <v>49</v>
      </c>
      <c r="L3" s="10" t="s">
        <v>50</v>
      </c>
      <c r="M3" s="10" t="s">
        <v>51</v>
      </c>
      <c r="N3" s="10" t="s">
        <v>52</v>
      </c>
      <c r="O3" s="10" t="s">
        <v>53</v>
      </c>
      <c r="P3" s="10" t="s">
        <v>54</v>
      </c>
      <c r="Q3" s="10" t="s">
        <v>55</v>
      </c>
      <c r="R3" s="10" t="s">
        <v>56</v>
      </c>
      <c r="S3" s="10" t="s">
        <v>57</v>
      </c>
      <c r="T3" s="10" t="s">
        <v>58</v>
      </c>
      <c r="U3" s="10" t="s">
        <v>59</v>
      </c>
      <c r="V3" s="10" t="s">
        <v>55</v>
      </c>
      <c r="W3" s="10" t="s">
        <v>60</v>
      </c>
      <c r="X3" s="10" t="s">
        <v>61</v>
      </c>
      <c r="Y3" s="10" t="s">
        <v>62</v>
      </c>
      <c r="Z3" s="10" t="s">
        <v>63</v>
      </c>
      <c r="AA3" s="10" t="s">
        <v>64</v>
      </c>
      <c r="AB3" s="10" t="s">
        <v>65</v>
      </c>
      <c r="AC3" s="10" t="s">
        <v>66</v>
      </c>
      <c r="AD3" s="10" t="s">
        <v>67</v>
      </c>
      <c r="AE3" s="10" t="s">
        <v>68</v>
      </c>
      <c r="AF3" s="10" t="s">
        <v>69</v>
      </c>
      <c r="AG3" s="10" t="s">
        <v>70</v>
      </c>
      <c r="AH3" s="10" t="s">
        <v>71</v>
      </c>
      <c r="AI3" s="10" t="s">
        <v>72</v>
      </c>
      <c r="AJ3" s="10" t="s">
        <v>73</v>
      </c>
      <c r="AK3" s="10" t="s">
        <v>74</v>
      </c>
      <c r="AL3" s="10" t="s">
        <v>75</v>
      </c>
      <c r="AM3" s="10" t="s">
        <v>76</v>
      </c>
      <c r="AN3" s="10" t="s">
        <v>77</v>
      </c>
      <c r="AO3" s="10" t="s">
        <v>78</v>
      </c>
      <c r="AP3" s="10" t="s">
        <v>79</v>
      </c>
    </row>
    <row r="4" spans="1:42" ht="30" customHeight="1" x14ac:dyDescent="0.25">
      <c r="A4" s="11" t="s">
        <v>80</v>
      </c>
      <c r="B4" s="11" t="s">
        <v>81</v>
      </c>
      <c r="C4" s="11" t="s">
        <v>82</v>
      </c>
      <c r="D4" s="11" t="s">
        <v>83</v>
      </c>
      <c r="E4" s="11" t="s">
        <v>84</v>
      </c>
      <c r="F4" s="11" t="s">
        <v>85</v>
      </c>
      <c r="G4" s="11" t="s">
        <v>86</v>
      </c>
      <c r="H4" s="11" t="s">
        <v>87</v>
      </c>
      <c r="I4" s="12" t="s">
        <v>88</v>
      </c>
      <c r="J4" s="12" t="s">
        <v>89</v>
      </c>
      <c r="K4" s="12" t="s">
        <v>90</v>
      </c>
      <c r="L4" s="12" t="s">
        <v>91</v>
      </c>
      <c r="M4" s="12" t="s">
        <v>92</v>
      </c>
      <c r="N4" s="12" t="s">
        <v>93</v>
      </c>
      <c r="O4" s="12" t="s">
        <v>94</v>
      </c>
      <c r="P4" s="12" t="s">
        <v>95</v>
      </c>
      <c r="Q4" s="12" t="s">
        <v>96</v>
      </c>
      <c r="R4" s="12" t="s">
        <v>97</v>
      </c>
      <c r="S4" s="12" t="s">
        <v>98</v>
      </c>
      <c r="T4" s="12" t="s">
        <v>99</v>
      </c>
      <c r="U4" s="12" t="s">
        <v>100</v>
      </c>
      <c r="V4" s="12" t="s">
        <v>101</v>
      </c>
      <c r="W4" s="12" t="s">
        <v>102</v>
      </c>
      <c r="X4" s="12" t="s">
        <v>103</v>
      </c>
      <c r="Y4" s="12" t="s">
        <v>104</v>
      </c>
      <c r="Z4" s="12" t="s">
        <v>105</v>
      </c>
      <c r="AA4" s="12" t="s">
        <v>106</v>
      </c>
      <c r="AB4" s="12" t="s">
        <v>107</v>
      </c>
      <c r="AC4" s="12" t="s">
        <v>108</v>
      </c>
      <c r="AD4" s="12" t="s">
        <v>109</v>
      </c>
      <c r="AE4" s="12" t="s">
        <v>110</v>
      </c>
      <c r="AF4" s="12" t="s">
        <v>111</v>
      </c>
      <c r="AG4" s="12" t="s">
        <v>112</v>
      </c>
      <c r="AH4" s="12" t="s">
        <v>113</v>
      </c>
      <c r="AI4" s="12" t="s">
        <v>114</v>
      </c>
      <c r="AJ4" s="12" t="s">
        <v>115</v>
      </c>
      <c r="AK4" s="12" t="s">
        <v>116</v>
      </c>
      <c r="AL4" s="12" t="s">
        <v>117</v>
      </c>
      <c r="AM4" s="12" t="s">
        <v>118</v>
      </c>
      <c r="AN4" s="12" t="s">
        <v>119</v>
      </c>
      <c r="AO4" s="12" t="s">
        <v>120</v>
      </c>
      <c r="AP4" s="12" t="s">
        <v>121</v>
      </c>
    </row>
    <row r="5" spans="1:42" x14ac:dyDescent="0.25">
      <c r="A5" s="13" t="s">
        <v>122</v>
      </c>
      <c r="B5" s="13" t="s">
        <v>123</v>
      </c>
      <c r="C5" s="13">
        <v>20</v>
      </c>
      <c r="D5" s="13" t="s">
        <v>124</v>
      </c>
      <c r="E5" s="13" t="s">
        <v>125</v>
      </c>
      <c r="F5" s="13" t="s">
        <v>126</v>
      </c>
      <c r="G5" s="13" t="s">
        <v>127</v>
      </c>
      <c r="H5" s="13" t="s">
        <v>128</v>
      </c>
      <c r="I5" s="13">
        <v>5</v>
      </c>
      <c r="J5" s="13">
        <v>4</v>
      </c>
      <c r="K5" s="13">
        <v>5</v>
      </c>
      <c r="L5" s="13">
        <v>4</v>
      </c>
      <c r="M5" s="13">
        <v>5</v>
      </c>
      <c r="N5" s="13">
        <v>5</v>
      </c>
      <c r="O5" s="13">
        <v>4</v>
      </c>
      <c r="P5" s="13">
        <v>5</v>
      </c>
      <c r="Q5" s="13">
        <v>4</v>
      </c>
      <c r="R5" s="13">
        <v>5</v>
      </c>
      <c r="S5" s="13">
        <v>5</v>
      </c>
      <c r="T5" s="13">
        <v>4</v>
      </c>
      <c r="U5" s="13">
        <v>5</v>
      </c>
      <c r="V5" s="13">
        <v>4</v>
      </c>
      <c r="W5" s="13">
        <v>5</v>
      </c>
      <c r="X5" s="13">
        <v>5</v>
      </c>
      <c r="Y5" s="13">
        <v>4</v>
      </c>
      <c r="Z5" s="13">
        <v>5</v>
      </c>
      <c r="AA5" s="13">
        <v>4</v>
      </c>
      <c r="AB5" s="13">
        <v>5</v>
      </c>
      <c r="AC5" s="13">
        <v>5</v>
      </c>
      <c r="AD5" s="13">
        <v>4</v>
      </c>
      <c r="AE5" s="13">
        <v>5</v>
      </c>
      <c r="AF5" s="13">
        <v>4</v>
      </c>
      <c r="AG5" s="13">
        <v>5</v>
      </c>
      <c r="AH5" s="13">
        <v>5</v>
      </c>
      <c r="AI5" s="13">
        <v>4</v>
      </c>
      <c r="AJ5" s="13">
        <v>5</v>
      </c>
      <c r="AK5" s="13">
        <v>4</v>
      </c>
      <c r="AL5" s="13">
        <v>5</v>
      </c>
      <c r="AM5" s="13">
        <v>5</v>
      </c>
      <c r="AN5" s="13">
        <v>4</v>
      </c>
      <c r="AO5" s="13">
        <v>5</v>
      </c>
      <c r="AP5" s="13">
        <v>4</v>
      </c>
    </row>
    <row r="6" spans="1:42" x14ac:dyDescent="0.25">
      <c r="A6" s="14">
        <v>1</v>
      </c>
      <c r="B6" s="14" t="s">
        <v>81</v>
      </c>
      <c r="C6" s="14">
        <v>18</v>
      </c>
      <c r="D6" s="14" t="s">
        <v>124</v>
      </c>
      <c r="E6" s="14" t="s">
        <v>198</v>
      </c>
      <c r="F6" s="14" t="s">
        <v>199</v>
      </c>
      <c r="G6" s="14" t="s">
        <v>200</v>
      </c>
      <c r="H6" s="37" t="s">
        <v>201</v>
      </c>
      <c r="I6" s="15">
        <v>5</v>
      </c>
      <c r="J6" s="15">
        <v>4</v>
      </c>
      <c r="K6" s="15">
        <v>5</v>
      </c>
      <c r="L6" s="15">
        <v>5</v>
      </c>
      <c r="M6" s="15">
        <v>5</v>
      </c>
      <c r="N6" s="15">
        <v>4</v>
      </c>
      <c r="O6" s="15">
        <v>4</v>
      </c>
      <c r="P6" s="15">
        <v>4</v>
      </c>
      <c r="Q6" s="15">
        <v>5</v>
      </c>
      <c r="R6" s="15">
        <v>5</v>
      </c>
      <c r="S6" s="15">
        <v>5</v>
      </c>
      <c r="T6" s="15">
        <v>5</v>
      </c>
      <c r="U6" s="15">
        <v>5</v>
      </c>
      <c r="V6" s="15">
        <v>5</v>
      </c>
      <c r="W6" s="15">
        <v>4</v>
      </c>
      <c r="X6" s="15">
        <v>4</v>
      </c>
      <c r="Y6" s="15">
        <v>4</v>
      </c>
      <c r="Z6" s="15">
        <v>5</v>
      </c>
      <c r="AA6" s="15">
        <v>5</v>
      </c>
      <c r="AB6" s="15">
        <v>4</v>
      </c>
      <c r="AC6" s="15">
        <v>5</v>
      </c>
      <c r="AD6" s="15">
        <v>4</v>
      </c>
      <c r="AE6" s="15">
        <v>4</v>
      </c>
      <c r="AF6" s="15">
        <v>4</v>
      </c>
      <c r="AG6" s="15">
        <v>5</v>
      </c>
      <c r="AH6" s="15">
        <v>5</v>
      </c>
      <c r="AI6" s="15">
        <v>5</v>
      </c>
      <c r="AJ6" s="15">
        <v>5</v>
      </c>
      <c r="AK6" s="15">
        <v>5</v>
      </c>
      <c r="AL6" s="15">
        <v>5</v>
      </c>
      <c r="AM6" s="15">
        <v>5</v>
      </c>
      <c r="AN6" s="15">
        <v>5</v>
      </c>
      <c r="AO6" s="15">
        <v>5</v>
      </c>
      <c r="AP6" s="15">
        <v>5</v>
      </c>
    </row>
    <row r="7" spans="1:42" x14ac:dyDescent="0.25">
      <c r="A7" s="14">
        <v>2</v>
      </c>
      <c r="B7" s="14" t="s">
        <v>81</v>
      </c>
      <c r="C7" s="14">
        <v>20</v>
      </c>
      <c r="D7" s="14" t="s">
        <v>124</v>
      </c>
      <c r="E7" s="14" t="s">
        <v>202</v>
      </c>
      <c r="F7" s="14" t="s">
        <v>126</v>
      </c>
      <c r="G7" s="14" t="s">
        <v>200</v>
      </c>
      <c r="H7" s="37" t="s">
        <v>203</v>
      </c>
      <c r="I7" s="15">
        <v>4</v>
      </c>
      <c r="J7" s="15">
        <v>4</v>
      </c>
      <c r="K7" s="15">
        <v>5</v>
      </c>
      <c r="L7" s="15">
        <v>5</v>
      </c>
      <c r="M7" s="15">
        <v>5</v>
      </c>
      <c r="N7" s="15">
        <v>5</v>
      </c>
      <c r="O7" s="15">
        <v>5</v>
      </c>
      <c r="P7" s="15">
        <v>5</v>
      </c>
      <c r="Q7" s="15">
        <v>4</v>
      </c>
      <c r="R7" s="15">
        <v>4</v>
      </c>
      <c r="S7" s="15">
        <v>5</v>
      </c>
      <c r="T7" s="15">
        <v>5</v>
      </c>
      <c r="U7" s="15">
        <v>5</v>
      </c>
      <c r="V7" s="15">
        <v>4</v>
      </c>
      <c r="W7" s="15">
        <v>4</v>
      </c>
      <c r="X7" s="15">
        <v>4</v>
      </c>
      <c r="Y7" s="15">
        <v>3</v>
      </c>
      <c r="Z7" s="15">
        <v>3</v>
      </c>
      <c r="AA7" s="15">
        <v>4</v>
      </c>
      <c r="AB7" s="15">
        <v>5</v>
      </c>
      <c r="AC7" s="15">
        <v>4</v>
      </c>
      <c r="AD7" s="15">
        <v>4</v>
      </c>
      <c r="AE7" s="15">
        <v>4</v>
      </c>
      <c r="AF7" s="15">
        <v>5</v>
      </c>
      <c r="AG7" s="15">
        <v>4</v>
      </c>
      <c r="AH7" s="15">
        <v>4</v>
      </c>
      <c r="AI7" s="15">
        <v>3</v>
      </c>
      <c r="AJ7" s="15">
        <v>3</v>
      </c>
      <c r="AK7" s="15">
        <v>4</v>
      </c>
      <c r="AL7" s="15">
        <v>5</v>
      </c>
      <c r="AM7" s="15">
        <v>5</v>
      </c>
      <c r="AN7" s="15">
        <v>5</v>
      </c>
      <c r="AO7" s="15">
        <v>5</v>
      </c>
      <c r="AP7" s="15">
        <v>5</v>
      </c>
    </row>
    <row r="8" spans="1:42" x14ac:dyDescent="0.25">
      <c r="A8" s="14">
        <v>3</v>
      </c>
      <c r="B8" s="14" t="s">
        <v>81</v>
      </c>
      <c r="C8" s="14">
        <v>19</v>
      </c>
      <c r="D8" s="14" t="s">
        <v>124</v>
      </c>
      <c r="E8" s="14" t="s">
        <v>198</v>
      </c>
      <c r="F8" s="14" t="s">
        <v>199</v>
      </c>
      <c r="G8" s="14" t="s">
        <v>200</v>
      </c>
      <c r="H8" s="14" t="s">
        <v>201</v>
      </c>
      <c r="I8" s="15">
        <v>5</v>
      </c>
      <c r="J8" s="15">
        <v>4</v>
      </c>
      <c r="K8" s="15">
        <v>4</v>
      </c>
      <c r="L8" s="15">
        <v>4</v>
      </c>
      <c r="M8" s="15">
        <v>5</v>
      </c>
      <c r="N8" s="15">
        <v>4</v>
      </c>
      <c r="O8" s="15">
        <v>4</v>
      </c>
      <c r="P8" s="15">
        <v>4</v>
      </c>
      <c r="Q8" s="15">
        <v>4</v>
      </c>
      <c r="R8" s="15">
        <v>4</v>
      </c>
      <c r="S8" s="15">
        <v>4</v>
      </c>
      <c r="T8" s="15">
        <v>4</v>
      </c>
      <c r="U8" s="15">
        <v>4</v>
      </c>
      <c r="V8" s="15">
        <v>4</v>
      </c>
      <c r="W8" s="15">
        <v>4</v>
      </c>
      <c r="X8" s="15">
        <v>4</v>
      </c>
      <c r="Y8" s="15">
        <v>4</v>
      </c>
      <c r="Z8" s="15">
        <v>4</v>
      </c>
      <c r="AA8" s="15">
        <v>4</v>
      </c>
      <c r="AB8" s="15">
        <v>4</v>
      </c>
      <c r="AC8" s="15">
        <v>4</v>
      </c>
      <c r="AD8" s="15">
        <v>4</v>
      </c>
      <c r="AE8" s="15">
        <v>4</v>
      </c>
      <c r="AF8" s="15">
        <v>4</v>
      </c>
      <c r="AG8" s="15">
        <v>4</v>
      </c>
      <c r="AH8" s="15">
        <v>4</v>
      </c>
      <c r="AI8" s="15">
        <v>4</v>
      </c>
      <c r="AJ8" s="15">
        <v>4</v>
      </c>
      <c r="AK8" s="15">
        <v>4</v>
      </c>
      <c r="AL8" s="15">
        <v>5</v>
      </c>
      <c r="AM8" s="15">
        <v>5</v>
      </c>
      <c r="AN8" s="15">
        <v>5</v>
      </c>
      <c r="AO8" s="15">
        <v>5</v>
      </c>
      <c r="AP8" s="15">
        <v>5</v>
      </c>
    </row>
    <row r="9" spans="1:42" x14ac:dyDescent="0.25">
      <c r="A9" s="14">
        <v>4</v>
      </c>
      <c r="B9" s="14" t="s">
        <v>81</v>
      </c>
      <c r="C9" s="14">
        <v>19</v>
      </c>
      <c r="D9" s="14" t="s">
        <v>124</v>
      </c>
      <c r="E9" s="14" t="s">
        <v>198</v>
      </c>
      <c r="F9" s="14" t="s">
        <v>199</v>
      </c>
      <c r="G9" s="14" t="s">
        <v>127</v>
      </c>
      <c r="H9" s="14" t="s">
        <v>201</v>
      </c>
      <c r="I9" s="15">
        <v>4</v>
      </c>
      <c r="J9" s="15">
        <v>4</v>
      </c>
      <c r="K9" s="15">
        <v>4</v>
      </c>
      <c r="L9" s="15">
        <v>4</v>
      </c>
      <c r="M9" s="15">
        <v>3</v>
      </c>
      <c r="N9" s="15">
        <v>4</v>
      </c>
      <c r="O9" s="15">
        <v>4</v>
      </c>
      <c r="P9" s="15">
        <v>4</v>
      </c>
      <c r="Q9" s="15">
        <v>4</v>
      </c>
      <c r="R9" s="15">
        <v>4</v>
      </c>
      <c r="S9" s="15">
        <v>4</v>
      </c>
      <c r="T9" s="15">
        <v>4</v>
      </c>
      <c r="U9" s="15">
        <v>4</v>
      </c>
      <c r="V9" s="15">
        <v>4</v>
      </c>
      <c r="W9" s="15">
        <v>5</v>
      </c>
      <c r="X9" s="15">
        <v>4</v>
      </c>
      <c r="Y9" s="15">
        <v>4</v>
      </c>
      <c r="Z9" s="15">
        <v>4</v>
      </c>
      <c r="AA9" s="15">
        <v>5</v>
      </c>
      <c r="AB9" s="15">
        <v>4</v>
      </c>
      <c r="AC9" s="15">
        <v>5</v>
      </c>
      <c r="AD9" s="15">
        <v>4</v>
      </c>
      <c r="AE9" s="15">
        <v>4</v>
      </c>
      <c r="AF9" s="15">
        <v>4</v>
      </c>
      <c r="AG9" s="15">
        <v>4</v>
      </c>
      <c r="AH9" s="15">
        <v>5</v>
      </c>
      <c r="AI9" s="15">
        <v>5</v>
      </c>
      <c r="AJ9" s="15">
        <v>5</v>
      </c>
      <c r="AK9" s="15">
        <v>5</v>
      </c>
      <c r="AL9" s="15">
        <v>4</v>
      </c>
      <c r="AM9" s="15">
        <v>4</v>
      </c>
      <c r="AN9" s="15">
        <v>4</v>
      </c>
      <c r="AO9" s="15">
        <v>5</v>
      </c>
      <c r="AP9" s="15">
        <v>4</v>
      </c>
    </row>
    <row r="10" spans="1:42" x14ac:dyDescent="0.25">
      <c r="A10" s="14">
        <v>5</v>
      </c>
      <c r="B10" s="14" t="s">
        <v>81</v>
      </c>
      <c r="C10" s="14">
        <v>18</v>
      </c>
      <c r="D10" s="14" t="s">
        <v>124</v>
      </c>
      <c r="E10" s="14" t="s">
        <v>204</v>
      </c>
      <c r="F10" s="14" t="s">
        <v>199</v>
      </c>
      <c r="G10" s="14" t="s">
        <v>205</v>
      </c>
      <c r="H10" s="14" t="s">
        <v>201</v>
      </c>
      <c r="I10" s="15">
        <v>4</v>
      </c>
      <c r="J10" s="15">
        <v>4</v>
      </c>
      <c r="K10" s="15">
        <v>5</v>
      </c>
      <c r="L10" s="15">
        <v>4</v>
      </c>
      <c r="M10" s="15">
        <v>4</v>
      </c>
      <c r="N10" s="15">
        <v>4</v>
      </c>
      <c r="O10" s="15">
        <v>4</v>
      </c>
      <c r="P10" s="15">
        <v>4</v>
      </c>
      <c r="Q10" s="15">
        <v>4</v>
      </c>
      <c r="R10" s="15">
        <v>4</v>
      </c>
      <c r="S10" s="15">
        <v>4</v>
      </c>
      <c r="T10" s="15">
        <v>4</v>
      </c>
      <c r="U10" s="15">
        <v>4</v>
      </c>
      <c r="V10" s="15">
        <v>4</v>
      </c>
      <c r="W10" s="15">
        <v>4</v>
      </c>
      <c r="X10" s="15">
        <v>4</v>
      </c>
      <c r="Y10" s="15">
        <v>4</v>
      </c>
      <c r="Z10" s="15">
        <v>4</v>
      </c>
      <c r="AA10" s="15">
        <v>4</v>
      </c>
      <c r="AB10" s="15">
        <v>4</v>
      </c>
      <c r="AC10" s="15">
        <v>4</v>
      </c>
      <c r="AD10" s="15">
        <v>4</v>
      </c>
      <c r="AE10" s="15">
        <v>4</v>
      </c>
      <c r="AF10" s="15">
        <v>4</v>
      </c>
      <c r="AG10" s="15">
        <v>4</v>
      </c>
      <c r="AH10" s="15">
        <v>4</v>
      </c>
      <c r="AI10" s="15">
        <v>4</v>
      </c>
      <c r="AJ10" s="15">
        <v>4</v>
      </c>
      <c r="AK10" s="15">
        <v>4</v>
      </c>
      <c r="AL10" s="15">
        <v>4</v>
      </c>
      <c r="AM10" s="15">
        <v>4</v>
      </c>
      <c r="AN10" s="15">
        <v>4</v>
      </c>
      <c r="AO10" s="15">
        <v>4</v>
      </c>
      <c r="AP10" s="15">
        <v>4</v>
      </c>
    </row>
    <row r="11" spans="1:42" x14ac:dyDescent="0.25">
      <c r="A11" s="14">
        <v>6</v>
      </c>
      <c r="B11" s="14" t="s">
        <v>81</v>
      </c>
      <c r="C11" s="14">
        <v>18</v>
      </c>
      <c r="D11" s="14" t="s">
        <v>153</v>
      </c>
      <c r="E11" s="14" t="s">
        <v>204</v>
      </c>
      <c r="F11" s="14" t="s">
        <v>206</v>
      </c>
      <c r="G11" s="14" t="s">
        <v>205</v>
      </c>
      <c r="H11" s="14" t="s">
        <v>201</v>
      </c>
      <c r="I11" s="15">
        <v>4</v>
      </c>
      <c r="J11" s="15">
        <v>4</v>
      </c>
      <c r="K11" s="15">
        <v>3</v>
      </c>
      <c r="L11" s="15">
        <v>4</v>
      </c>
      <c r="M11" s="15">
        <v>4</v>
      </c>
      <c r="N11" s="15">
        <v>4</v>
      </c>
      <c r="O11" s="15">
        <v>4</v>
      </c>
      <c r="P11" s="15">
        <v>4</v>
      </c>
      <c r="Q11" s="15">
        <v>5</v>
      </c>
      <c r="R11" s="15">
        <v>4</v>
      </c>
      <c r="S11" s="15">
        <v>4</v>
      </c>
      <c r="T11" s="15">
        <v>3</v>
      </c>
      <c r="U11" s="15">
        <v>4</v>
      </c>
      <c r="V11" s="15">
        <v>4</v>
      </c>
      <c r="W11" s="15">
        <v>4</v>
      </c>
      <c r="X11" s="15">
        <v>4</v>
      </c>
      <c r="Y11" s="15">
        <v>4</v>
      </c>
      <c r="Z11" s="15">
        <v>4</v>
      </c>
      <c r="AA11" s="15">
        <v>4</v>
      </c>
      <c r="AB11" s="15">
        <v>4</v>
      </c>
      <c r="AC11" s="15">
        <v>4</v>
      </c>
      <c r="AD11" s="15">
        <v>4</v>
      </c>
      <c r="AE11" s="15">
        <v>4</v>
      </c>
      <c r="AF11" s="15">
        <v>4</v>
      </c>
      <c r="AG11" s="15">
        <v>4</v>
      </c>
      <c r="AH11" s="15">
        <v>4</v>
      </c>
      <c r="AI11" s="15">
        <v>4</v>
      </c>
      <c r="AJ11" s="15">
        <v>4</v>
      </c>
      <c r="AK11" s="15">
        <v>4</v>
      </c>
      <c r="AL11" s="15">
        <v>4</v>
      </c>
      <c r="AM11" s="15">
        <v>4</v>
      </c>
      <c r="AN11" s="15">
        <v>4</v>
      </c>
      <c r="AO11" s="15">
        <v>4</v>
      </c>
      <c r="AP11" s="15">
        <v>4</v>
      </c>
    </row>
    <row r="12" spans="1:42" x14ac:dyDescent="0.25">
      <c r="A12" s="14">
        <v>7</v>
      </c>
      <c r="B12" s="14" t="s">
        <v>81</v>
      </c>
      <c r="C12" s="14">
        <v>19</v>
      </c>
      <c r="D12" s="14" t="s">
        <v>124</v>
      </c>
      <c r="E12" s="14" t="s">
        <v>204</v>
      </c>
      <c r="F12" s="14" t="s">
        <v>199</v>
      </c>
      <c r="G12" s="14" t="s">
        <v>207</v>
      </c>
      <c r="H12" s="14" t="s">
        <v>201</v>
      </c>
      <c r="I12" s="15">
        <v>4</v>
      </c>
      <c r="J12" s="15">
        <v>4</v>
      </c>
      <c r="K12" s="15">
        <v>5</v>
      </c>
      <c r="L12" s="15">
        <v>3</v>
      </c>
      <c r="M12" s="15">
        <v>4</v>
      </c>
      <c r="N12" s="15">
        <v>4</v>
      </c>
      <c r="O12" s="15">
        <v>4</v>
      </c>
      <c r="P12" s="15">
        <v>4</v>
      </c>
      <c r="Q12" s="15">
        <v>5</v>
      </c>
      <c r="R12" s="15">
        <v>5</v>
      </c>
      <c r="S12" s="15">
        <v>4</v>
      </c>
      <c r="T12" s="15">
        <v>5</v>
      </c>
      <c r="U12" s="15">
        <v>5</v>
      </c>
      <c r="V12" s="15">
        <v>4</v>
      </c>
      <c r="W12" s="15">
        <v>5</v>
      </c>
      <c r="X12" s="15">
        <v>4</v>
      </c>
      <c r="Y12" s="15">
        <v>4</v>
      </c>
      <c r="Z12" s="15">
        <v>5</v>
      </c>
      <c r="AA12" s="15">
        <v>5</v>
      </c>
      <c r="AB12" s="15">
        <v>5</v>
      </c>
      <c r="AC12" s="15">
        <v>4</v>
      </c>
      <c r="AD12" s="15">
        <v>5</v>
      </c>
      <c r="AE12" s="15">
        <v>5</v>
      </c>
      <c r="AF12" s="15">
        <v>5</v>
      </c>
      <c r="AG12" s="15">
        <v>4</v>
      </c>
      <c r="AH12" s="15">
        <v>4</v>
      </c>
      <c r="AI12" s="15">
        <v>5</v>
      </c>
      <c r="AJ12" s="15">
        <v>5</v>
      </c>
      <c r="AK12" s="15">
        <v>4</v>
      </c>
      <c r="AL12" s="15">
        <v>5</v>
      </c>
      <c r="AM12" s="15">
        <v>4</v>
      </c>
      <c r="AN12" s="15">
        <v>4</v>
      </c>
      <c r="AO12" s="15">
        <v>4</v>
      </c>
      <c r="AP12" s="15">
        <v>4</v>
      </c>
    </row>
    <row r="13" spans="1:42" x14ac:dyDescent="0.25">
      <c r="A13" s="14">
        <v>8</v>
      </c>
      <c r="B13" s="14" t="s">
        <v>81</v>
      </c>
      <c r="C13" s="14">
        <v>21</v>
      </c>
      <c r="D13" s="14" t="s">
        <v>153</v>
      </c>
      <c r="E13" s="14" t="s">
        <v>125</v>
      </c>
      <c r="F13" s="14" t="s">
        <v>126</v>
      </c>
      <c r="G13" s="14" t="s">
        <v>205</v>
      </c>
      <c r="H13" s="14" t="s">
        <v>201</v>
      </c>
      <c r="I13" s="15">
        <v>4</v>
      </c>
      <c r="J13" s="15">
        <v>4</v>
      </c>
      <c r="K13" s="15">
        <v>4</v>
      </c>
      <c r="L13" s="15">
        <v>4</v>
      </c>
      <c r="M13" s="15">
        <v>5</v>
      </c>
      <c r="N13" s="15">
        <v>4</v>
      </c>
      <c r="O13" s="15">
        <v>4</v>
      </c>
      <c r="P13" s="15">
        <v>5</v>
      </c>
      <c r="Q13" s="15">
        <v>5</v>
      </c>
      <c r="R13" s="15">
        <v>5</v>
      </c>
      <c r="S13" s="15">
        <v>4</v>
      </c>
      <c r="T13" s="15">
        <v>5</v>
      </c>
      <c r="U13" s="15">
        <v>4</v>
      </c>
      <c r="V13" s="15">
        <v>5</v>
      </c>
      <c r="W13" s="15">
        <v>5</v>
      </c>
      <c r="X13" s="15">
        <v>5</v>
      </c>
      <c r="Y13" s="15">
        <v>4</v>
      </c>
      <c r="Z13" s="15">
        <v>5</v>
      </c>
      <c r="AA13" s="15">
        <v>4</v>
      </c>
      <c r="AB13" s="15">
        <v>5</v>
      </c>
      <c r="AC13" s="15">
        <v>5</v>
      </c>
      <c r="AD13" s="15">
        <v>4</v>
      </c>
      <c r="AE13" s="15">
        <v>5</v>
      </c>
      <c r="AF13" s="15">
        <v>4</v>
      </c>
      <c r="AG13" s="15">
        <v>5</v>
      </c>
      <c r="AH13" s="15">
        <v>5</v>
      </c>
      <c r="AI13" s="15">
        <v>4</v>
      </c>
      <c r="AJ13" s="15">
        <v>4</v>
      </c>
      <c r="AK13" s="15">
        <v>5</v>
      </c>
      <c r="AL13" s="15">
        <v>5</v>
      </c>
      <c r="AM13" s="15">
        <v>4</v>
      </c>
      <c r="AN13" s="15">
        <v>4</v>
      </c>
      <c r="AO13" s="15">
        <v>5</v>
      </c>
      <c r="AP13" s="15">
        <v>5</v>
      </c>
    </row>
    <row r="14" spans="1:42" x14ac:dyDescent="0.25">
      <c r="A14" s="14">
        <v>9</v>
      </c>
      <c r="B14" s="14" t="s">
        <v>81</v>
      </c>
      <c r="C14" s="14">
        <v>20</v>
      </c>
      <c r="D14" s="14" t="s">
        <v>153</v>
      </c>
      <c r="E14" s="14" t="s">
        <v>125</v>
      </c>
      <c r="F14" s="14" t="s">
        <v>126</v>
      </c>
      <c r="G14" s="14" t="s">
        <v>207</v>
      </c>
      <c r="H14" s="14" t="s">
        <v>208</v>
      </c>
      <c r="I14" s="15">
        <v>4</v>
      </c>
      <c r="J14" s="15">
        <v>4</v>
      </c>
      <c r="K14" s="15">
        <v>4</v>
      </c>
      <c r="L14" s="15">
        <v>3</v>
      </c>
      <c r="M14" s="15">
        <v>4</v>
      </c>
      <c r="N14" s="15">
        <v>4</v>
      </c>
      <c r="O14" s="15">
        <v>4</v>
      </c>
      <c r="P14" s="15">
        <v>4</v>
      </c>
      <c r="Q14" s="15">
        <v>4</v>
      </c>
      <c r="R14" s="15">
        <v>5</v>
      </c>
      <c r="S14" s="15">
        <v>4</v>
      </c>
      <c r="T14" s="15">
        <v>4</v>
      </c>
      <c r="U14" s="15">
        <v>4</v>
      </c>
      <c r="V14" s="15">
        <v>4</v>
      </c>
      <c r="W14" s="15">
        <v>4</v>
      </c>
      <c r="X14" s="15">
        <v>4</v>
      </c>
      <c r="Y14" s="15">
        <v>4</v>
      </c>
      <c r="Z14" s="15">
        <v>4</v>
      </c>
      <c r="AA14" s="15">
        <v>4</v>
      </c>
      <c r="AB14" s="15">
        <v>4</v>
      </c>
      <c r="AC14" s="15">
        <v>4</v>
      </c>
      <c r="AD14" s="15">
        <v>4</v>
      </c>
      <c r="AE14" s="15">
        <v>4</v>
      </c>
      <c r="AF14" s="15">
        <v>4</v>
      </c>
      <c r="AG14" s="15">
        <v>4</v>
      </c>
      <c r="AH14" s="15">
        <v>4</v>
      </c>
      <c r="AI14" s="15">
        <v>4</v>
      </c>
      <c r="AJ14" s="15">
        <v>5</v>
      </c>
      <c r="AK14" s="15">
        <v>4</v>
      </c>
      <c r="AL14" s="15">
        <v>4</v>
      </c>
      <c r="AM14" s="15">
        <v>4</v>
      </c>
      <c r="AN14" s="15">
        <v>4</v>
      </c>
      <c r="AO14" s="15">
        <v>4</v>
      </c>
      <c r="AP14" s="15">
        <v>4</v>
      </c>
    </row>
    <row r="15" spans="1:42" x14ac:dyDescent="0.25">
      <c r="A15" s="14">
        <v>10</v>
      </c>
      <c r="B15" s="14" t="s">
        <v>81</v>
      </c>
      <c r="C15" s="14">
        <v>19</v>
      </c>
      <c r="D15" s="14" t="s">
        <v>153</v>
      </c>
      <c r="E15" s="14" t="s">
        <v>125</v>
      </c>
      <c r="F15" s="14" t="s">
        <v>126</v>
      </c>
      <c r="G15" s="14" t="s">
        <v>205</v>
      </c>
      <c r="H15" s="14" t="s">
        <v>201</v>
      </c>
      <c r="I15" s="15">
        <v>3</v>
      </c>
      <c r="J15" s="15">
        <v>4</v>
      </c>
      <c r="K15" s="15">
        <v>4</v>
      </c>
      <c r="L15" s="15">
        <v>4</v>
      </c>
      <c r="M15" s="15">
        <v>4</v>
      </c>
      <c r="N15" s="15">
        <v>5</v>
      </c>
      <c r="O15" s="15">
        <v>4</v>
      </c>
      <c r="P15" s="15">
        <v>4</v>
      </c>
      <c r="Q15" s="15">
        <v>4</v>
      </c>
      <c r="R15" s="15">
        <v>4</v>
      </c>
      <c r="S15" s="15">
        <v>4</v>
      </c>
      <c r="T15" s="15">
        <v>4</v>
      </c>
      <c r="U15" s="15">
        <v>5</v>
      </c>
      <c r="V15" s="15">
        <v>4</v>
      </c>
      <c r="W15" s="15">
        <v>4</v>
      </c>
      <c r="X15" s="15">
        <v>4</v>
      </c>
      <c r="Y15" s="15">
        <v>3</v>
      </c>
      <c r="Z15" s="15">
        <v>4</v>
      </c>
      <c r="AA15" s="15">
        <v>4</v>
      </c>
      <c r="AB15" s="15">
        <v>5</v>
      </c>
      <c r="AC15" s="15">
        <v>5</v>
      </c>
      <c r="AD15" s="15">
        <v>4</v>
      </c>
      <c r="AE15" s="15">
        <v>4</v>
      </c>
      <c r="AF15" s="15">
        <v>5</v>
      </c>
      <c r="AG15" s="15">
        <v>4</v>
      </c>
      <c r="AH15" s="15">
        <v>4</v>
      </c>
      <c r="AI15" s="15">
        <v>5</v>
      </c>
      <c r="AJ15" s="15">
        <v>4</v>
      </c>
      <c r="AK15" s="15">
        <v>4</v>
      </c>
      <c r="AL15" s="15">
        <v>4</v>
      </c>
      <c r="AM15" s="15">
        <v>4</v>
      </c>
      <c r="AN15" s="15">
        <v>4</v>
      </c>
      <c r="AO15" s="15">
        <v>5</v>
      </c>
      <c r="AP15" s="15">
        <v>5</v>
      </c>
    </row>
    <row r="16" spans="1:42" x14ac:dyDescent="0.25">
      <c r="A16" s="14">
        <v>11</v>
      </c>
      <c r="B16" s="14" t="s">
        <v>81</v>
      </c>
      <c r="C16" s="14">
        <v>22</v>
      </c>
      <c r="D16" s="14" t="s">
        <v>153</v>
      </c>
      <c r="E16" s="14" t="s">
        <v>125</v>
      </c>
      <c r="F16" s="14" t="s">
        <v>126</v>
      </c>
      <c r="G16" s="14" t="s">
        <v>200</v>
      </c>
      <c r="H16" s="14" t="s">
        <v>201</v>
      </c>
      <c r="I16" s="15">
        <v>4</v>
      </c>
      <c r="J16" s="15">
        <v>4</v>
      </c>
      <c r="K16" s="15">
        <v>5</v>
      </c>
      <c r="L16" s="15">
        <v>4</v>
      </c>
      <c r="M16" s="15">
        <v>5</v>
      </c>
      <c r="N16" s="15">
        <v>4</v>
      </c>
      <c r="O16" s="15">
        <v>4</v>
      </c>
      <c r="P16" s="15">
        <v>4</v>
      </c>
      <c r="Q16" s="15">
        <v>4</v>
      </c>
      <c r="R16" s="15">
        <v>5</v>
      </c>
      <c r="S16" s="15">
        <v>5</v>
      </c>
      <c r="T16" s="15">
        <v>4</v>
      </c>
      <c r="U16" s="15">
        <v>5</v>
      </c>
      <c r="V16" s="15">
        <v>4</v>
      </c>
      <c r="W16" s="15">
        <v>4</v>
      </c>
      <c r="X16" s="15">
        <v>4</v>
      </c>
      <c r="Y16" s="15">
        <v>4</v>
      </c>
      <c r="Z16" s="15">
        <v>5</v>
      </c>
      <c r="AA16" s="15">
        <v>5</v>
      </c>
      <c r="AB16" s="15">
        <v>5</v>
      </c>
      <c r="AC16" s="15">
        <v>4</v>
      </c>
      <c r="AD16" s="15">
        <v>5</v>
      </c>
      <c r="AE16" s="15">
        <v>4</v>
      </c>
      <c r="AF16" s="15">
        <v>4</v>
      </c>
      <c r="AG16" s="15">
        <v>4</v>
      </c>
      <c r="AH16" s="15">
        <v>5</v>
      </c>
      <c r="AI16" s="15">
        <v>4</v>
      </c>
      <c r="AJ16" s="15">
        <v>5</v>
      </c>
      <c r="AK16" s="15">
        <v>5</v>
      </c>
      <c r="AL16" s="15">
        <v>4</v>
      </c>
      <c r="AM16" s="15">
        <v>5</v>
      </c>
      <c r="AN16" s="15">
        <v>5</v>
      </c>
      <c r="AO16" s="15">
        <v>4</v>
      </c>
      <c r="AP16" s="15">
        <v>4</v>
      </c>
    </row>
    <row r="17" spans="1:42" x14ac:dyDescent="0.25">
      <c r="A17" s="14">
        <v>12</v>
      </c>
      <c r="B17" s="14" t="s">
        <v>81</v>
      </c>
      <c r="C17" s="14">
        <v>21</v>
      </c>
      <c r="D17" s="14" t="s">
        <v>153</v>
      </c>
      <c r="E17" s="14" t="s">
        <v>125</v>
      </c>
      <c r="F17" s="14" t="s">
        <v>126</v>
      </c>
      <c r="G17" s="14" t="s">
        <v>205</v>
      </c>
      <c r="H17" s="14" t="s">
        <v>201</v>
      </c>
      <c r="I17" s="15">
        <v>4</v>
      </c>
      <c r="J17" s="15">
        <v>4</v>
      </c>
      <c r="K17" s="15">
        <v>5</v>
      </c>
      <c r="L17" s="15">
        <v>4</v>
      </c>
      <c r="M17" s="15">
        <v>5</v>
      </c>
      <c r="N17" s="15">
        <v>4</v>
      </c>
      <c r="O17" s="15">
        <v>5</v>
      </c>
      <c r="P17" s="15">
        <v>5</v>
      </c>
      <c r="Q17" s="15">
        <v>4</v>
      </c>
      <c r="R17" s="15">
        <v>4</v>
      </c>
      <c r="S17" s="15">
        <v>4</v>
      </c>
      <c r="T17" s="15">
        <v>4</v>
      </c>
      <c r="U17" s="15">
        <v>4</v>
      </c>
      <c r="V17" s="15">
        <v>4</v>
      </c>
      <c r="W17" s="15">
        <v>4</v>
      </c>
      <c r="X17" s="15">
        <v>4</v>
      </c>
      <c r="Y17" s="15">
        <v>4</v>
      </c>
      <c r="Z17" s="15">
        <v>4</v>
      </c>
      <c r="AA17" s="15">
        <v>4</v>
      </c>
      <c r="AB17" s="15">
        <v>4</v>
      </c>
      <c r="AC17" s="15">
        <v>4</v>
      </c>
      <c r="AD17" s="15">
        <v>4</v>
      </c>
      <c r="AE17" s="15">
        <v>4</v>
      </c>
      <c r="AF17" s="15">
        <v>4</v>
      </c>
      <c r="AG17" s="15">
        <v>4</v>
      </c>
      <c r="AH17" s="15">
        <v>4</v>
      </c>
      <c r="AI17" s="15">
        <v>4</v>
      </c>
      <c r="AJ17" s="15">
        <v>4</v>
      </c>
      <c r="AK17" s="15">
        <v>4</v>
      </c>
      <c r="AL17" s="15">
        <v>4</v>
      </c>
      <c r="AM17" s="15">
        <v>4</v>
      </c>
      <c r="AN17" s="15">
        <v>4</v>
      </c>
      <c r="AO17" s="15">
        <v>4</v>
      </c>
      <c r="AP17" s="15">
        <v>4</v>
      </c>
    </row>
    <row r="18" spans="1:42" x14ac:dyDescent="0.25">
      <c r="A18" s="14">
        <v>13</v>
      </c>
      <c r="B18" s="14" t="s">
        <v>81</v>
      </c>
      <c r="C18" s="14">
        <v>20</v>
      </c>
      <c r="D18" s="14" t="s">
        <v>124</v>
      </c>
      <c r="E18" s="14" t="s">
        <v>125</v>
      </c>
      <c r="F18" s="14" t="s">
        <v>126</v>
      </c>
      <c r="G18" s="14" t="s">
        <v>200</v>
      </c>
      <c r="H18" s="14" t="s">
        <v>201</v>
      </c>
      <c r="I18" s="15">
        <v>4</v>
      </c>
      <c r="J18" s="15">
        <v>4</v>
      </c>
      <c r="K18" s="15">
        <v>5</v>
      </c>
      <c r="L18" s="15">
        <v>5</v>
      </c>
      <c r="M18" s="15">
        <v>4</v>
      </c>
      <c r="N18" s="15">
        <v>4</v>
      </c>
      <c r="O18" s="15">
        <v>5</v>
      </c>
      <c r="P18" s="15">
        <v>4</v>
      </c>
      <c r="Q18" s="15">
        <v>4</v>
      </c>
      <c r="R18" s="15">
        <v>4</v>
      </c>
      <c r="S18" s="15">
        <v>4</v>
      </c>
      <c r="T18" s="15">
        <v>4</v>
      </c>
      <c r="U18" s="15">
        <v>4</v>
      </c>
      <c r="V18" s="15">
        <v>4</v>
      </c>
      <c r="W18" s="15">
        <v>5</v>
      </c>
      <c r="X18" s="15">
        <v>5</v>
      </c>
      <c r="Y18" s="15">
        <v>5</v>
      </c>
      <c r="Z18" s="15">
        <v>4</v>
      </c>
      <c r="AA18" s="15">
        <v>4</v>
      </c>
      <c r="AB18" s="15">
        <v>4</v>
      </c>
      <c r="AC18" s="15">
        <v>4</v>
      </c>
      <c r="AD18" s="15">
        <v>4</v>
      </c>
      <c r="AE18" s="15">
        <v>4</v>
      </c>
      <c r="AF18" s="15">
        <v>4</v>
      </c>
      <c r="AG18" s="15">
        <v>4</v>
      </c>
      <c r="AH18" s="15">
        <v>4</v>
      </c>
      <c r="AI18" s="15">
        <v>4</v>
      </c>
      <c r="AJ18" s="15">
        <v>4</v>
      </c>
      <c r="AK18" s="15">
        <v>4</v>
      </c>
      <c r="AL18" s="15">
        <v>4</v>
      </c>
      <c r="AM18" s="15">
        <v>4</v>
      </c>
      <c r="AN18" s="15">
        <v>4</v>
      </c>
      <c r="AO18" s="15">
        <v>4</v>
      </c>
      <c r="AP18" s="15">
        <v>4</v>
      </c>
    </row>
    <row r="19" spans="1:42" x14ac:dyDescent="0.25">
      <c r="A19" s="14">
        <v>14</v>
      </c>
      <c r="B19" s="14" t="s">
        <v>81</v>
      </c>
      <c r="C19" s="14">
        <v>19</v>
      </c>
      <c r="D19" s="14" t="s">
        <v>153</v>
      </c>
      <c r="E19" s="14" t="s">
        <v>125</v>
      </c>
      <c r="F19" s="14" t="s">
        <v>126</v>
      </c>
      <c r="G19" s="14" t="s">
        <v>200</v>
      </c>
      <c r="H19" s="14" t="s">
        <v>209</v>
      </c>
      <c r="I19" s="15">
        <v>4</v>
      </c>
      <c r="J19" s="15">
        <v>5</v>
      </c>
      <c r="K19" s="15">
        <v>5</v>
      </c>
      <c r="L19" s="15">
        <v>4</v>
      </c>
      <c r="M19" s="15">
        <v>5</v>
      </c>
      <c r="N19" s="15">
        <v>4</v>
      </c>
      <c r="O19" s="15">
        <v>4</v>
      </c>
      <c r="P19" s="15">
        <v>4</v>
      </c>
      <c r="Q19" s="15">
        <v>4</v>
      </c>
      <c r="R19" s="15">
        <v>5</v>
      </c>
      <c r="S19" s="15">
        <v>5</v>
      </c>
      <c r="T19" s="15">
        <v>5</v>
      </c>
      <c r="U19" s="15">
        <v>5</v>
      </c>
      <c r="V19" s="15">
        <v>5</v>
      </c>
      <c r="W19" s="15">
        <v>5</v>
      </c>
      <c r="X19" s="15">
        <v>4</v>
      </c>
      <c r="Y19" s="15">
        <v>4</v>
      </c>
      <c r="Z19" s="15">
        <v>5</v>
      </c>
      <c r="AA19" s="15">
        <v>5</v>
      </c>
      <c r="AB19" s="15">
        <v>5</v>
      </c>
      <c r="AC19" s="15">
        <v>4</v>
      </c>
      <c r="AD19" s="15">
        <v>4</v>
      </c>
      <c r="AE19" s="15">
        <v>5</v>
      </c>
      <c r="AF19" s="15">
        <v>4</v>
      </c>
      <c r="AG19" s="15">
        <v>5</v>
      </c>
      <c r="AH19" s="15">
        <v>5</v>
      </c>
      <c r="AI19" s="15">
        <v>4</v>
      </c>
      <c r="AJ19" s="15">
        <v>5</v>
      </c>
      <c r="AK19" s="15">
        <v>4</v>
      </c>
      <c r="AL19" s="15">
        <v>5</v>
      </c>
      <c r="AM19" s="15">
        <v>5</v>
      </c>
      <c r="AN19" s="15">
        <v>4</v>
      </c>
      <c r="AO19" s="15">
        <v>5</v>
      </c>
      <c r="AP19" s="15">
        <v>5</v>
      </c>
    </row>
    <row r="20" spans="1:42" x14ac:dyDescent="0.25">
      <c r="A20" s="14">
        <v>15</v>
      </c>
      <c r="B20" s="14" t="s">
        <v>81</v>
      </c>
      <c r="C20" s="14">
        <v>21</v>
      </c>
      <c r="D20" s="14" t="s">
        <v>124</v>
      </c>
      <c r="E20" s="14" t="s">
        <v>125</v>
      </c>
      <c r="F20" s="14" t="s">
        <v>126</v>
      </c>
      <c r="G20" s="14" t="s">
        <v>200</v>
      </c>
      <c r="H20" s="14" t="s">
        <v>201</v>
      </c>
      <c r="I20" s="15">
        <v>4</v>
      </c>
      <c r="J20" s="15">
        <v>4</v>
      </c>
      <c r="K20" s="15">
        <v>4</v>
      </c>
      <c r="L20" s="15">
        <v>4</v>
      </c>
      <c r="M20" s="15">
        <v>4</v>
      </c>
      <c r="N20" s="15">
        <v>4</v>
      </c>
      <c r="O20" s="15">
        <v>4</v>
      </c>
      <c r="P20" s="15">
        <v>4</v>
      </c>
      <c r="Q20" s="15">
        <v>4</v>
      </c>
      <c r="R20" s="15">
        <v>4</v>
      </c>
      <c r="S20" s="15">
        <v>4</v>
      </c>
      <c r="T20" s="15">
        <v>4</v>
      </c>
      <c r="U20" s="15">
        <v>4</v>
      </c>
      <c r="V20" s="15">
        <v>4</v>
      </c>
      <c r="W20" s="15">
        <v>4</v>
      </c>
      <c r="X20" s="15">
        <v>4</v>
      </c>
      <c r="Y20" s="15">
        <v>4</v>
      </c>
      <c r="Z20" s="15">
        <v>4</v>
      </c>
      <c r="AA20" s="15">
        <v>4</v>
      </c>
      <c r="AB20" s="15">
        <v>4</v>
      </c>
      <c r="AC20" s="15">
        <v>4</v>
      </c>
      <c r="AD20" s="15">
        <v>4</v>
      </c>
      <c r="AE20" s="15">
        <v>4</v>
      </c>
      <c r="AF20" s="15">
        <v>5</v>
      </c>
      <c r="AG20" s="15">
        <v>5</v>
      </c>
      <c r="AH20" s="15">
        <v>5</v>
      </c>
      <c r="AI20" s="15">
        <v>4</v>
      </c>
      <c r="AJ20" s="15">
        <v>4</v>
      </c>
      <c r="AK20" s="15">
        <v>5</v>
      </c>
      <c r="AL20" s="15">
        <v>4</v>
      </c>
      <c r="AM20" s="15">
        <v>4</v>
      </c>
      <c r="AN20" s="15">
        <v>4</v>
      </c>
      <c r="AO20" s="15">
        <v>5</v>
      </c>
      <c r="AP20" s="15">
        <v>4</v>
      </c>
    </row>
    <row r="21" spans="1:42" x14ac:dyDescent="0.25">
      <c r="A21" s="14">
        <v>16</v>
      </c>
      <c r="B21" s="14" t="s">
        <v>81</v>
      </c>
      <c r="C21" s="14">
        <v>20</v>
      </c>
      <c r="D21" s="14" t="s">
        <v>124</v>
      </c>
      <c r="E21" s="14" t="s">
        <v>125</v>
      </c>
      <c r="F21" s="14" t="s">
        <v>126</v>
      </c>
      <c r="G21" s="14" t="s">
        <v>200</v>
      </c>
      <c r="H21" s="14" t="s">
        <v>201</v>
      </c>
      <c r="I21" s="15">
        <v>4</v>
      </c>
      <c r="J21" s="15">
        <v>4</v>
      </c>
      <c r="K21" s="15">
        <v>4</v>
      </c>
      <c r="L21" s="15">
        <v>4</v>
      </c>
      <c r="M21" s="15">
        <v>4</v>
      </c>
      <c r="N21" s="15">
        <v>5</v>
      </c>
      <c r="O21" s="15">
        <v>4</v>
      </c>
      <c r="P21" s="15">
        <v>4</v>
      </c>
      <c r="Q21" s="15">
        <v>4</v>
      </c>
      <c r="R21" s="15">
        <v>4</v>
      </c>
      <c r="S21" s="15">
        <v>5</v>
      </c>
      <c r="T21" s="15">
        <v>4</v>
      </c>
      <c r="U21" s="15">
        <v>5</v>
      </c>
      <c r="V21" s="15">
        <v>4</v>
      </c>
      <c r="W21" s="15">
        <v>4</v>
      </c>
      <c r="X21" s="15">
        <v>4</v>
      </c>
      <c r="Y21" s="15">
        <v>4</v>
      </c>
      <c r="Z21" s="15">
        <v>4</v>
      </c>
      <c r="AA21" s="15">
        <v>4</v>
      </c>
      <c r="AB21" s="15">
        <v>4</v>
      </c>
      <c r="AC21" s="15">
        <v>4</v>
      </c>
      <c r="AD21" s="15">
        <v>4</v>
      </c>
      <c r="AE21" s="15">
        <v>4</v>
      </c>
      <c r="AF21" s="15">
        <v>4</v>
      </c>
      <c r="AG21" s="15">
        <v>4</v>
      </c>
      <c r="AH21" s="15">
        <v>4</v>
      </c>
      <c r="AI21" s="15">
        <v>4</v>
      </c>
      <c r="AJ21" s="15">
        <v>3</v>
      </c>
      <c r="AK21" s="15">
        <v>4</v>
      </c>
      <c r="AL21" s="15">
        <v>4</v>
      </c>
      <c r="AM21" s="15">
        <v>4</v>
      </c>
      <c r="AN21" s="15">
        <v>4</v>
      </c>
      <c r="AO21" s="15">
        <v>4</v>
      </c>
      <c r="AP21" s="15">
        <v>4</v>
      </c>
    </row>
    <row r="22" spans="1:42" x14ac:dyDescent="0.25">
      <c r="A22" s="14">
        <v>17</v>
      </c>
      <c r="B22" s="14" t="s">
        <v>81</v>
      </c>
      <c r="C22" s="14">
        <v>20</v>
      </c>
      <c r="D22" s="14" t="s">
        <v>124</v>
      </c>
      <c r="E22" s="14" t="s">
        <v>125</v>
      </c>
      <c r="F22" s="14" t="s">
        <v>126</v>
      </c>
      <c r="G22" s="14" t="s">
        <v>207</v>
      </c>
      <c r="H22" s="14" t="s">
        <v>203</v>
      </c>
      <c r="I22" s="15">
        <v>4</v>
      </c>
      <c r="J22" s="15">
        <v>4</v>
      </c>
      <c r="K22" s="15">
        <v>5</v>
      </c>
      <c r="L22" s="15">
        <v>4</v>
      </c>
      <c r="M22" s="15">
        <v>4</v>
      </c>
      <c r="N22" s="15">
        <v>5</v>
      </c>
      <c r="O22" s="15">
        <v>4</v>
      </c>
      <c r="P22" s="15">
        <v>4</v>
      </c>
      <c r="Q22" s="15">
        <v>5</v>
      </c>
      <c r="R22" s="15">
        <v>4</v>
      </c>
      <c r="S22" s="15">
        <v>4</v>
      </c>
      <c r="T22" s="15">
        <v>5</v>
      </c>
      <c r="U22" s="15">
        <v>4</v>
      </c>
      <c r="V22" s="15">
        <v>5</v>
      </c>
      <c r="W22" s="15">
        <v>4</v>
      </c>
      <c r="X22" s="15">
        <v>5</v>
      </c>
      <c r="Y22" s="15">
        <v>4</v>
      </c>
      <c r="Z22" s="15">
        <v>4</v>
      </c>
      <c r="AA22" s="15">
        <v>4</v>
      </c>
      <c r="AB22" s="15">
        <v>4</v>
      </c>
      <c r="AC22" s="15">
        <v>4</v>
      </c>
      <c r="AD22" s="15">
        <v>5</v>
      </c>
      <c r="AE22" s="15">
        <v>4</v>
      </c>
      <c r="AF22" s="15">
        <v>4</v>
      </c>
      <c r="AG22" s="15">
        <v>5</v>
      </c>
      <c r="AH22" s="15">
        <v>4</v>
      </c>
      <c r="AI22" s="15">
        <v>4</v>
      </c>
      <c r="AJ22" s="15">
        <v>5</v>
      </c>
      <c r="AK22" s="15">
        <v>5</v>
      </c>
      <c r="AL22" s="15">
        <v>4</v>
      </c>
      <c r="AM22" s="15">
        <v>4</v>
      </c>
      <c r="AN22" s="15">
        <v>5</v>
      </c>
      <c r="AO22" s="15">
        <v>4</v>
      </c>
      <c r="AP22" s="15">
        <v>4</v>
      </c>
    </row>
    <row r="23" spans="1:42" x14ac:dyDescent="0.25">
      <c r="A23" s="14">
        <v>18</v>
      </c>
      <c r="B23" s="14" t="s">
        <v>81</v>
      </c>
      <c r="C23" s="14">
        <v>21</v>
      </c>
      <c r="D23" s="14" t="s">
        <v>124</v>
      </c>
      <c r="E23" s="14" t="s">
        <v>125</v>
      </c>
      <c r="F23" s="14" t="s">
        <v>126</v>
      </c>
      <c r="G23" s="14" t="s">
        <v>205</v>
      </c>
      <c r="H23" s="14" t="s">
        <v>201</v>
      </c>
      <c r="I23" s="15">
        <v>5</v>
      </c>
      <c r="J23" s="15">
        <v>4</v>
      </c>
      <c r="K23" s="15">
        <v>4</v>
      </c>
      <c r="L23" s="15">
        <v>4</v>
      </c>
      <c r="M23" s="15">
        <v>4</v>
      </c>
      <c r="N23" s="15">
        <v>4</v>
      </c>
      <c r="O23" s="15">
        <v>4</v>
      </c>
      <c r="P23" s="15">
        <v>4</v>
      </c>
      <c r="Q23" s="15">
        <v>5</v>
      </c>
      <c r="R23" s="15">
        <v>5</v>
      </c>
      <c r="S23" s="15">
        <v>5</v>
      </c>
      <c r="T23" s="15">
        <v>4</v>
      </c>
      <c r="U23" s="15">
        <v>5</v>
      </c>
      <c r="V23" s="15">
        <v>5</v>
      </c>
      <c r="W23" s="15">
        <v>4</v>
      </c>
      <c r="X23" s="15">
        <v>4</v>
      </c>
      <c r="Y23" s="15">
        <v>5</v>
      </c>
      <c r="Z23" s="15">
        <v>5</v>
      </c>
      <c r="AA23" s="15">
        <v>5</v>
      </c>
      <c r="AB23" s="15">
        <v>5</v>
      </c>
      <c r="AC23" s="15">
        <v>4</v>
      </c>
      <c r="AD23" s="15">
        <v>4</v>
      </c>
      <c r="AE23" s="15">
        <v>4</v>
      </c>
      <c r="AF23" s="15">
        <v>5</v>
      </c>
      <c r="AG23" s="15">
        <v>5</v>
      </c>
      <c r="AH23" s="15">
        <v>5</v>
      </c>
      <c r="AI23" s="15">
        <v>5</v>
      </c>
      <c r="AJ23" s="15">
        <v>5</v>
      </c>
      <c r="AK23" s="15">
        <v>4</v>
      </c>
      <c r="AL23" s="15">
        <v>5</v>
      </c>
      <c r="AM23" s="15">
        <v>5</v>
      </c>
      <c r="AN23" s="15">
        <v>5</v>
      </c>
      <c r="AO23" s="15">
        <v>5</v>
      </c>
      <c r="AP23" s="15">
        <v>4</v>
      </c>
    </row>
    <row r="24" spans="1:42" x14ac:dyDescent="0.25">
      <c r="A24" s="14">
        <v>19</v>
      </c>
      <c r="B24" s="14" t="s">
        <v>81</v>
      </c>
      <c r="C24" s="14">
        <v>20</v>
      </c>
      <c r="D24" s="14" t="s">
        <v>153</v>
      </c>
      <c r="E24" s="14" t="s">
        <v>125</v>
      </c>
      <c r="F24" s="14" t="s">
        <v>126</v>
      </c>
      <c r="G24" s="14" t="s">
        <v>205</v>
      </c>
      <c r="H24" s="14" t="s">
        <v>201</v>
      </c>
      <c r="I24" s="15">
        <v>4</v>
      </c>
      <c r="J24" s="15">
        <v>4</v>
      </c>
      <c r="K24" s="15">
        <v>4</v>
      </c>
      <c r="L24" s="15">
        <v>4</v>
      </c>
      <c r="M24" s="15">
        <v>5</v>
      </c>
      <c r="N24" s="15">
        <v>4</v>
      </c>
      <c r="O24" s="15">
        <v>5</v>
      </c>
      <c r="P24" s="15">
        <v>5</v>
      </c>
      <c r="Q24" s="15">
        <v>5</v>
      </c>
      <c r="R24" s="15">
        <v>5</v>
      </c>
      <c r="S24" s="15">
        <v>5</v>
      </c>
      <c r="T24" s="15">
        <v>5</v>
      </c>
      <c r="U24" s="15">
        <v>5</v>
      </c>
      <c r="V24" s="15">
        <v>5</v>
      </c>
      <c r="W24" s="15">
        <v>5</v>
      </c>
      <c r="X24" s="15">
        <v>5</v>
      </c>
      <c r="Y24" s="15">
        <v>5</v>
      </c>
      <c r="Z24" s="15">
        <v>5</v>
      </c>
      <c r="AA24" s="15">
        <v>5</v>
      </c>
      <c r="AB24" s="15">
        <v>5</v>
      </c>
      <c r="AC24" s="15">
        <v>4</v>
      </c>
      <c r="AD24" s="15">
        <v>5</v>
      </c>
      <c r="AE24" s="15">
        <v>4</v>
      </c>
      <c r="AF24" s="15">
        <v>5</v>
      </c>
      <c r="AG24" s="15">
        <v>5</v>
      </c>
      <c r="AH24" s="15">
        <v>5</v>
      </c>
      <c r="AI24" s="15">
        <v>5</v>
      </c>
      <c r="AJ24" s="15">
        <v>5</v>
      </c>
      <c r="AK24" s="15">
        <v>5</v>
      </c>
      <c r="AL24" s="15">
        <v>5</v>
      </c>
      <c r="AM24" s="15">
        <v>4</v>
      </c>
      <c r="AN24" s="15">
        <v>4</v>
      </c>
      <c r="AO24" s="15">
        <v>4</v>
      </c>
      <c r="AP24" s="15">
        <v>4</v>
      </c>
    </row>
    <row r="25" spans="1:42" x14ac:dyDescent="0.25">
      <c r="A25" s="14">
        <v>20</v>
      </c>
      <c r="B25" s="14" t="s">
        <v>81</v>
      </c>
      <c r="C25" s="14">
        <v>19</v>
      </c>
      <c r="D25" s="14" t="s">
        <v>124</v>
      </c>
      <c r="E25" s="14" t="s">
        <v>198</v>
      </c>
      <c r="F25" s="14" t="s">
        <v>199</v>
      </c>
      <c r="G25" s="14" t="s">
        <v>207</v>
      </c>
      <c r="H25" s="14" t="s">
        <v>209</v>
      </c>
      <c r="I25" s="15">
        <v>4</v>
      </c>
      <c r="J25" s="15">
        <v>4</v>
      </c>
      <c r="K25" s="15">
        <v>5</v>
      </c>
      <c r="L25" s="15">
        <v>5</v>
      </c>
      <c r="M25" s="15">
        <v>5</v>
      </c>
      <c r="N25" s="15">
        <v>5</v>
      </c>
      <c r="O25" s="15">
        <v>5</v>
      </c>
      <c r="P25" s="15">
        <v>4</v>
      </c>
      <c r="Q25" s="15">
        <v>4</v>
      </c>
      <c r="R25" s="15">
        <v>4</v>
      </c>
      <c r="S25" s="15">
        <v>5</v>
      </c>
      <c r="T25" s="15">
        <v>4</v>
      </c>
      <c r="U25" s="15">
        <v>4</v>
      </c>
      <c r="V25" s="15">
        <v>5</v>
      </c>
      <c r="W25" s="15">
        <v>4</v>
      </c>
      <c r="X25" s="15">
        <v>4</v>
      </c>
      <c r="Y25" s="15">
        <v>4</v>
      </c>
      <c r="Z25" s="15">
        <v>4</v>
      </c>
      <c r="AA25" s="15">
        <v>5</v>
      </c>
      <c r="AB25" s="15">
        <v>4</v>
      </c>
      <c r="AC25" s="15">
        <v>4</v>
      </c>
      <c r="AD25" s="15">
        <v>5</v>
      </c>
      <c r="AE25" s="15">
        <v>4</v>
      </c>
      <c r="AF25" s="15">
        <v>4</v>
      </c>
      <c r="AG25" s="15">
        <v>4</v>
      </c>
      <c r="AH25" s="15">
        <v>4</v>
      </c>
      <c r="AI25" s="15">
        <v>4</v>
      </c>
      <c r="AJ25" s="15">
        <v>4</v>
      </c>
      <c r="AK25" s="15">
        <v>4</v>
      </c>
      <c r="AL25" s="15">
        <v>4</v>
      </c>
      <c r="AM25" s="15">
        <v>4</v>
      </c>
      <c r="AN25" s="15">
        <v>4</v>
      </c>
      <c r="AO25" s="15">
        <v>4</v>
      </c>
      <c r="AP25" s="15">
        <v>4</v>
      </c>
    </row>
  </sheetData>
  <dataValidations count="1">
    <dataValidation type="whole" allowBlank="1" showErrorMessage="1" errorTitle="Use 1 to 5" error="Enter the weight the respondent ticked: 5 Strongly Agree down to 1 Strongly Disagree." sqref="I6:AP25">
      <formula1>1</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
  <sheetViews>
    <sheetView showGridLines="0" workbookViewId="0">
      <pane xSplit="8" ySplit="5" topLeftCell="I6" activePane="bottomRight" state="frozen"/>
      <selection pane="topRight"/>
      <selection pane="bottomLeft"/>
      <selection pane="bottomRight" activeCell="AC14" sqref="AC14"/>
    </sheetView>
  </sheetViews>
  <sheetFormatPr defaultRowHeight="15" x14ac:dyDescent="0.25"/>
  <cols>
    <col min="1" max="1" width="12" customWidth="1"/>
    <col min="2" max="2" width="24" customWidth="1"/>
    <col min="3" max="3" width="7" customWidth="1"/>
    <col min="4" max="4" width="10" customWidth="1"/>
    <col min="5" max="5" width="24" customWidth="1"/>
    <col min="6" max="6" width="16" customWidth="1"/>
    <col min="7" max="7" width="15" customWidth="1"/>
    <col min="8" max="8" width="20" customWidth="1"/>
    <col min="9" max="28" width="6" customWidth="1"/>
  </cols>
  <sheetData>
    <row r="1" spans="1:28" ht="18" x14ac:dyDescent="0.25">
      <c r="A1" s="8" t="s">
        <v>31</v>
      </c>
    </row>
    <row r="2" spans="1:28" x14ac:dyDescent="0.25">
      <c r="A2" s="9" t="s">
        <v>129</v>
      </c>
    </row>
    <row r="3" spans="1:28" ht="189.95" customHeight="1" x14ac:dyDescent="0.25">
      <c r="I3" s="10" t="s">
        <v>130</v>
      </c>
      <c r="J3" s="10" t="s">
        <v>131</v>
      </c>
      <c r="K3" s="10" t="s">
        <v>132</v>
      </c>
      <c r="L3" s="10" t="s">
        <v>133</v>
      </c>
      <c r="M3" s="10" t="s">
        <v>134</v>
      </c>
      <c r="N3" s="10" t="s">
        <v>135</v>
      </c>
      <c r="O3" s="10" t="s">
        <v>136</v>
      </c>
      <c r="P3" s="10" t="s">
        <v>137</v>
      </c>
      <c r="Q3" s="10" t="s">
        <v>138</v>
      </c>
      <c r="R3" s="10" t="s">
        <v>51</v>
      </c>
      <c r="S3" s="10" t="s">
        <v>139</v>
      </c>
      <c r="T3" s="10" t="s">
        <v>140</v>
      </c>
      <c r="U3" s="10" t="s">
        <v>141</v>
      </c>
      <c r="V3" s="10" t="s">
        <v>142</v>
      </c>
      <c r="W3" s="10" t="s">
        <v>143</v>
      </c>
      <c r="X3" s="10" t="s">
        <v>144</v>
      </c>
      <c r="Y3" s="10" t="s">
        <v>145</v>
      </c>
      <c r="Z3" s="10" t="s">
        <v>67</v>
      </c>
      <c r="AA3" s="10" t="s">
        <v>146</v>
      </c>
      <c r="AB3" s="10" t="s">
        <v>147</v>
      </c>
    </row>
    <row r="4" spans="1:28" ht="30" customHeight="1" x14ac:dyDescent="0.25">
      <c r="A4" s="11" t="s">
        <v>80</v>
      </c>
      <c r="B4" s="11" t="s">
        <v>81</v>
      </c>
      <c r="C4" s="11" t="s">
        <v>82</v>
      </c>
      <c r="D4" s="11" t="s">
        <v>83</v>
      </c>
      <c r="E4" s="11" t="s">
        <v>148</v>
      </c>
      <c r="F4" s="11" t="s">
        <v>149</v>
      </c>
      <c r="G4" s="11" t="s">
        <v>150</v>
      </c>
      <c r="H4" s="11" t="s">
        <v>151</v>
      </c>
      <c r="I4" s="12" t="s">
        <v>88</v>
      </c>
      <c r="J4" s="12" t="s">
        <v>89</v>
      </c>
      <c r="K4" s="12" t="s">
        <v>90</v>
      </c>
      <c r="L4" s="12" t="s">
        <v>91</v>
      </c>
      <c r="M4" s="12" t="s">
        <v>92</v>
      </c>
      <c r="N4" s="12" t="s">
        <v>96</v>
      </c>
      <c r="O4" s="12" t="s">
        <v>97</v>
      </c>
      <c r="P4" s="12" t="s">
        <v>98</v>
      </c>
      <c r="Q4" s="12" t="s">
        <v>99</v>
      </c>
      <c r="R4" s="12" t="s">
        <v>100</v>
      </c>
      <c r="S4" s="12" t="s">
        <v>102</v>
      </c>
      <c r="T4" s="12" t="s">
        <v>103</v>
      </c>
      <c r="U4" s="12" t="s">
        <v>104</v>
      </c>
      <c r="V4" s="12" t="s">
        <v>105</v>
      </c>
      <c r="W4" s="12" t="s">
        <v>106</v>
      </c>
      <c r="X4" s="12" t="s">
        <v>107</v>
      </c>
      <c r="Y4" s="12" t="s">
        <v>108</v>
      </c>
      <c r="Z4" s="12" t="s">
        <v>109</v>
      </c>
      <c r="AA4" s="12" t="s">
        <v>110</v>
      </c>
      <c r="AB4" s="12" t="s">
        <v>111</v>
      </c>
    </row>
    <row r="5" spans="1:28" x14ac:dyDescent="0.25">
      <c r="A5" s="13" t="s">
        <v>122</v>
      </c>
      <c r="B5" s="13" t="s">
        <v>152</v>
      </c>
      <c r="C5" s="13">
        <v>41</v>
      </c>
      <c r="D5" s="13" t="s">
        <v>153</v>
      </c>
      <c r="E5" s="13" t="s">
        <v>154</v>
      </c>
      <c r="F5" s="13" t="s">
        <v>155</v>
      </c>
      <c r="G5" s="13" t="s">
        <v>155</v>
      </c>
      <c r="H5" s="13" t="s">
        <v>156</v>
      </c>
      <c r="I5" s="13">
        <v>5</v>
      </c>
      <c r="J5" s="13">
        <v>4</v>
      </c>
      <c r="K5" s="13">
        <v>5</v>
      </c>
      <c r="L5" s="13">
        <v>4</v>
      </c>
      <c r="M5" s="13">
        <v>5</v>
      </c>
      <c r="N5" s="13">
        <v>5</v>
      </c>
      <c r="O5" s="13">
        <v>4</v>
      </c>
      <c r="P5" s="13">
        <v>5</v>
      </c>
      <c r="Q5" s="13">
        <v>4</v>
      </c>
      <c r="R5" s="13">
        <v>5</v>
      </c>
      <c r="S5" s="13">
        <v>5</v>
      </c>
      <c r="T5" s="13">
        <v>4</v>
      </c>
      <c r="U5" s="13">
        <v>5</v>
      </c>
      <c r="V5" s="13">
        <v>4</v>
      </c>
      <c r="W5" s="13">
        <v>5</v>
      </c>
      <c r="X5" s="13">
        <v>5</v>
      </c>
      <c r="Y5" s="13">
        <v>4</v>
      </c>
      <c r="Z5" s="13">
        <v>5</v>
      </c>
      <c r="AA5" s="13">
        <v>4</v>
      </c>
      <c r="AB5" s="13">
        <v>5</v>
      </c>
    </row>
    <row r="6" spans="1:28" x14ac:dyDescent="0.25">
      <c r="A6" s="14">
        <v>1</v>
      </c>
      <c r="B6" s="14" t="s">
        <v>81</v>
      </c>
      <c r="C6" s="14">
        <v>50</v>
      </c>
      <c r="D6" s="14" t="s">
        <v>153</v>
      </c>
      <c r="E6" s="14" t="s">
        <v>210</v>
      </c>
      <c r="F6" s="14" t="s">
        <v>155</v>
      </c>
      <c r="G6" s="14" t="s">
        <v>155</v>
      </c>
      <c r="H6" s="14" t="s">
        <v>211</v>
      </c>
      <c r="I6" s="15">
        <v>4</v>
      </c>
      <c r="J6" s="15">
        <v>4</v>
      </c>
      <c r="K6" s="15">
        <v>5</v>
      </c>
      <c r="L6" s="15">
        <v>4</v>
      </c>
      <c r="M6" s="15">
        <v>5</v>
      </c>
      <c r="N6" s="15">
        <v>5</v>
      </c>
      <c r="O6" s="15">
        <v>5</v>
      </c>
      <c r="P6" s="15">
        <v>4</v>
      </c>
      <c r="Q6" s="15">
        <v>5</v>
      </c>
      <c r="R6" s="15">
        <v>4</v>
      </c>
      <c r="S6" s="15">
        <v>5</v>
      </c>
      <c r="T6" s="15">
        <v>4</v>
      </c>
      <c r="U6" s="15">
        <v>5</v>
      </c>
      <c r="V6" s="15">
        <v>4</v>
      </c>
      <c r="W6" s="15">
        <v>5</v>
      </c>
      <c r="X6" s="15">
        <v>4</v>
      </c>
      <c r="Y6" s="15">
        <v>5</v>
      </c>
      <c r="Z6" s="15">
        <v>4</v>
      </c>
      <c r="AA6" s="15">
        <v>5</v>
      </c>
      <c r="AB6" s="15">
        <v>5</v>
      </c>
    </row>
    <row r="7" spans="1:28" x14ac:dyDescent="0.25">
      <c r="A7" s="14">
        <v>2</v>
      </c>
      <c r="B7" s="14" t="s">
        <v>81</v>
      </c>
      <c r="C7" s="14">
        <v>41</v>
      </c>
      <c r="D7" s="14" t="s">
        <v>153</v>
      </c>
      <c r="E7" s="14" t="s">
        <v>212</v>
      </c>
      <c r="F7" s="14" t="s">
        <v>155</v>
      </c>
      <c r="G7" s="14" t="s">
        <v>155</v>
      </c>
      <c r="H7" s="37" t="s">
        <v>203</v>
      </c>
      <c r="I7" s="15">
        <v>3</v>
      </c>
      <c r="J7" s="15">
        <v>3</v>
      </c>
      <c r="K7" s="15">
        <v>4</v>
      </c>
      <c r="L7" s="15">
        <v>4</v>
      </c>
      <c r="M7" s="15">
        <v>4</v>
      </c>
      <c r="N7" s="15">
        <v>4</v>
      </c>
      <c r="O7" s="15">
        <v>3</v>
      </c>
      <c r="P7" s="15">
        <v>4</v>
      </c>
      <c r="Q7" s="15">
        <v>4</v>
      </c>
      <c r="R7" s="15">
        <v>5</v>
      </c>
      <c r="S7" s="15">
        <v>4</v>
      </c>
      <c r="T7" s="15">
        <v>5</v>
      </c>
      <c r="U7" s="15">
        <v>4</v>
      </c>
      <c r="V7" s="15">
        <v>5</v>
      </c>
      <c r="W7" s="15">
        <v>4</v>
      </c>
      <c r="X7" s="15">
        <v>5</v>
      </c>
      <c r="Y7" s="15">
        <v>4</v>
      </c>
      <c r="Z7" s="15">
        <v>5</v>
      </c>
      <c r="AA7" s="15">
        <v>3</v>
      </c>
      <c r="AB7" s="15">
        <v>5</v>
      </c>
    </row>
    <row r="8" spans="1:28" x14ac:dyDescent="0.25">
      <c r="A8" s="14">
        <v>3</v>
      </c>
      <c r="B8" s="14" t="s">
        <v>81</v>
      </c>
      <c r="C8" s="14">
        <v>58</v>
      </c>
      <c r="D8" s="14" t="s">
        <v>153</v>
      </c>
      <c r="E8" s="14" t="s">
        <v>210</v>
      </c>
      <c r="F8" s="14" t="s">
        <v>155</v>
      </c>
      <c r="G8" s="14" t="s">
        <v>155</v>
      </c>
      <c r="H8" s="14" t="s">
        <v>209</v>
      </c>
      <c r="I8" s="15">
        <v>4</v>
      </c>
      <c r="J8" s="15">
        <v>4</v>
      </c>
      <c r="K8" s="15">
        <v>4</v>
      </c>
      <c r="L8" s="15">
        <v>4</v>
      </c>
      <c r="M8" s="15">
        <v>4</v>
      </c>
      <c r="N8" s="15">
        <v>4</v>
      </c>
      <c r="O8" s="15">
        <v>5</v>
      </c>
      <c r="P8" s="15">
        <v>4</v>
      </c>
      <c r="Q8" s="15">
        <v>4</v>
      </c>
      <c r="R8" s="15">
        <v>5</v>
      </c>
      <c r="S8" s="15">
        <v>4</v>
      </c>
      <c r="T8" s="15">
        <v>4</v>
      </c>
      <c r="U8" s="15">
        <v>4</v>
      </c>
      <c r="V8" s="15">
        <v>5</v>
      </c>
      <c r="W8" s="15">
        <v>4</v>
      </c>
      <c r="X8" s="15">
        <v>5</v>
      </c>
      <c r="Y8" s="15">
        <v>4</v>
      </c>
      <c r="Z8" s="15">
        <v>4</v>
      </c>
      <c r="AA8" s="15">
        <v>5</v>
      </c>
      <c r="AB8" s="15">
        <v>4</v>
      </c>
    </row>
    <row r="9" spans="1:28" x14ac:dyDescent="0.25">
      <c r="A9" s="14">
        <v>4</v>
      </c>
      <c r="B9" s="14" t="s">
        <v>81</v>
      </c>
      <c r="C9" s="14">
        <v>45</v>
      </c>
      <c r="D9" s="14" t="s">
        <v>153</v>
      </c>
      <c r="E9" s="14" t="s">
        <v>212</v>
      </c>
      <c r="F9" s="14" t="s">
        <v>155</v>
      </c>
      <c r="G9" s="14" t="s">
        <v>155</v>
      </c>
      <c r="H9" s="14" t="s">
        <v>209</v>
      </c>
      <c r="I9" s="15">
        <v>5</v>
      </c>
      <c r="J9" s="15">
        <v>4</v>
      </c>
      <c r="K9" s="15">
        <v>5</v>
      </c>
      <c r="L9" s="15">
        <v>4</v>
      </c>
      <c r="M9" s="15">
        <v>3</v>
      </c>
      <c r="N9" s="15">
        <v>5</v>
      </c>
      <c r="O9" s="15">
        <v>5</v>
      </c>
      <c r="P9" s="15">
        <v>5</v>
      </c>
      <c r="Q9" s="15">
        <v>4</v>
      </c>
      <c r="R9" s="15">
        <v>5</v>
      </c>
      <c r="S9" s="15">
        <v>5</v>
      </c>
      <c r="T9" s="15">
        <v>4</v>
      </c>
      <c r="U9" s="15">
        <v>4</v>
      </c>
      <c r="V9" s="15">
        <v>5</v>
      </c>
      <c r="W9" s="15">
        <v>4</v>
      </c>
      <c r="X9" s="15">
        <v>5</v>
      </c>
      <c r="Y9" s="15">
        <v>5</v>
      </c>
      <c r="Z9" s="15">
        <v>4</v>
      </c>
      <c r="AA9" s="15">
        <v>4</v>
      </c>
      <c r="AB9" s="15">
        <v>5</v>
      </c>
    </row>
    <row r="10" spans="1:28" x14ac:dyDescent="0.25">
      <c r="A10" s="14">
        <v>5</v>
      </c>
      <c r="B10" s="14" t="s">
        <v>81</v>
      </c>
      <c r="C10" s="14">
        <v>64</v>
      </c>
      <c r="D10" s="14" t="s">
        <v>153</v>
      </c>
      <c r="E10" s="14" t="s">
        <v>210</v>
      </c>
      <c r="F10" s="14" t="s">
        <v>155</v>
      </c>
      <c r="G10" s="14" t="s">
        <v>155</v>
      </c>
      <c r="H10" s="14" t="s">
        <v>201</v>
      </c>
      <c r="I10" s="15">
        <v>5</v>
      </c>
      <c r="J10" s="15">
        <v>4</v>
      </c>
      <c r="K10" s="15">
        <v>4</v>
      </c>
      <c r="L10" s="15">
        <v>4</v>
      </c>
      <c r="M10" s="15">
        <v>4</v>
      </c>
      <c r="N10" s="15">
        <v>4</v>
      </c>
      <c r="O10" s="15">
        <v>4</v>
      </c>
      <c r="P10" s="15">
        <v>4</v>
      </c>
      <c r="Q10" s="15">
        <v>4</v>
      </c>
      <c r="R10" s="15">
        <v>4</v>
      </c>
      <c r="S10" s="15">
        <v>4</v>
      </c>
      <c r="T10" s="15">
        <v>4</v>
      </c>
      <c r="U10" s="15">
        <v>4</v>
      </c>
      <c r="V10" s="15">
        <v>4</v>
      </c>
      <c r="W10" s="15">
        <v>4</v>
      </c>
      <c r="X10" s="15">
        <v>4</v>
      </c>
      <c r="Y10" s="15">
        <v>4</v>
      </c>
      <c r="Z10" s="15">
        <v>4</v>
      </c>
      <c r="AA10" s="15">
        <v>4</v>
      </c>
      <c r="AB10" s="15">
        <v>5</v>
      </c>
    </row>
    <row r="11" spans="1:28" x14ac:dyDescent="0.25">
      <c r="A11" s="14">
        <v>6</v>
      </c>
      <c r="B11" s="14" t="s">
        <v>81</v>
      </c>
      <c r="C11" s="14">
        <v>54</v>
      </c>
      <c r="D11" s="14" t="s">
        <v>153</v>
      </c>
      <c r="E11" s="14" t="s">
        <v>210</v>
      </c>
      <c r="F11" s="14" t="s">
        <v>155</v>
      </c>
      <c r="G11" s="14" t="s">
        <v>155</v>
      </c>
      <c r="H11" s="14" t="s">
        <v>209</v>
      </c>
      <c r="I11" s="15">
        <v>5</v>
      </c>
      <c r="J11" s="15">
        <v>5</v>
      </c>
      <c r="K11" s="15">
        <v>5</v>
      </c>
      <c r="L11" s="15">
        <v>5</v>
      </c>
      <c r="M11" s="15">
        <v>5</v>
      </c>
      <c r="N11" s="15">
        <v>5</v>
      </c>
      <c r="O11" s="15">
        <v>5</v>
      </c>
      <c r="P11" s="15">
        <v>5</v>
      </c>
      <c r="Q11" s="15">
        <v>5</v>
      </c>
      <c r="R11" s="15">
        <v>5</v>
      </c>
      <c r="S11" s="15">
        <v>5</v>
      </c>
      <c r="T11" s="15">
        <v>5</v>
      </c>
      <c r="U11" s="15">
        <v>5</v>
      </c>
      <c r="V11" s="15">
        <v>5</v>
      </c>
      <c r="W11" s="15">
        <v>5</v>
      </c>
      <c r="X11" s="15">
        <v>5</v>
      </c>
      <c r="Y11" s="15">
        <v>5</v>
      </c>
      <c r="Z11" s="15">
        <v>5</v>
      </c>
      <c r="AA11" s="15">
        <v>5</v>
      </c>
      <c r="AB11" s="15">
        <v>5</v>
      </c>
    </row>
    <row r="12" spans="1:28" x14ac:dyDescent="0.25">
      <c r="A12" s="14">
        <v>7</v>
      </c>
      <c r="B12" s="14" t="s">
        <v>81</v>
      </c>
      <c r="C12" s="14">
        <v>48</v>
      </c>
      <c r="D12" s="14" t="s">
        <v>153</v>
      </c>
      <c r="E12" s="14" t="s">
        <v>210</v>
      </c>
      <c r="F12" s="14" t="s">
        <v>155</v>
      </c>
      <c r="G12" s="14" t="s">
        <v>155</v>
      </c>
      <c r="H12" s="14" t="s">
        <v>209</v>
      </c>
      <c r="I12" s="15">
        <v>4</v>
      </c>
      <c r="J12" s="15">
        <v>4</v>
      </c>
      <c r="K12" s="15">
        <v>4</v>
      </c>
      <c r="L12" s="15">
        <v>4</v>
      </c>
      <c r="M12" s="15">
        <v>4</v>
      </c>
      <c r="N12" s="15">
        <v>4</v>
      </c>
      <c r="O12" s="15">
        <v>4</v>
      </c>
      <c r="P12" s="15">
        <v>4</v>
      </c>
      <c r="Q12" s="15">
        <v>4</v>
      </c>
      <c r="R12" s="15">
        <v>4</v>
      </c>
      <c r="S12" s="15">
        <v>4</v>
      </c>
      <c r="T12" s="15">
        <v>4</v>
      </c>
      <c r="U12" s="15">
        <v>4</v>
      </c>
      <c r="V12" s="15">
        <v>4</v>
      </c>
      <c r="W12" s="15">
        <v>4</v>
      </c>
      <c r="X12" s="15">
        <v>4</v>
      </c>
      <c r="Y12" s="15">
        <v>4</v>
      </c>
      <c r="Z12" s="15">
        <v>4</v>
      </c>
      <c r="AA12" s="15">
        <v>4</v>
      </c>
      <c r="AB12" s="15">
        <v>4</v>
      </c>
    </row>
    <row r="13" spans="1:28" x14ac:dyDescent="0.25">
      <c r="A13" s="14">
        <v>8</v>
      </c>
      <c r="B13" s="14" t="s">
        <v>81</v>
      </c>
      <c r="C13" s="14">
        <v>45</v>
      </c>
      <c r="D13" s="14" t="s">
        <v>153</v>
      </c>
      <c r="E13" s="14" t="s">
        <v>213</v>
      </c>
      <c r="F13" s="14" t="s">
        <v>155</v>
      </c>
      <c r="G13" s="14" t="s">
        <v>155</v>
      </c>
      <c r="H13" s="14" t="s">
        <v>201</v>
      </c>
      <c r="I13" s="15">
        <v>5</v>
      </c>
      <c r="J13" s="15">
        <v>4</v>
      </c>
      <c r="K13" s="15">
        <v>4</v>
      </c>
      <c r="L13" s="15">
        <v>4</v>
      </c>
      <c r="M13" s="15">
        <v>4</v>
      </c>
      <c r="N13" s="15">
        <v>4</v>
      </c>
      <c r="O13" s="15">
        <v>4</v>
      </c>
      <c r="P13" s="15">
        <v>4</v>
      </c>
      <c r="Q13" s="15">
        <v>4</v>
      </c>
      <c r="R13" s="15">
        <v>4</v>
      </c>
      <c r="S13" s="15">
        <v>4</v>
      </c>
      <c r="T13" s="15">
        <v>4</v>
      </c>
      <c r="U13" s="15">
        <v>4</v>
      </c>
      <c r="V13" s="15">
        <v>5</v>
      </c>
      <c r="W13" s="15">
        <v>5</v>
      </c>
      <c r="X13" s="15">
        <v>5</v>
      </c>
      <c r="Y13" s="15">
        <v>5</v>
      </c>
      <c r="Z13" s="15">
        <v>4</v>
      </c>
      <c r="AA13" s="15">
        <v>4</v>
      </c>
      <c r="AB13" s="15">
        <v>5</v>
      </c>
    </row>
    <row r="14" spans="1:28" x14ac:dyDescent="0.25">
      <c r="A14" s="14">
        <v>9</v>
      </c>
      <c r="B14" s="14" t="s">
        <v>81</v>
      </c>
      <c r="C14" s="14">
        <v>68</v>
      </c>
      <c r="D14" s="14" t="s">
        <v>153</v>
      </c>
      <c r="E14" s="14" t="s">
        <v>210</v>
      </c>
      <c r="F14" s="14" t="s">
        <v>155</v>
      </c>
      <c r="G14" s="14" t="s">
        <v>155</v>
      </c>
      <c r="H14" s="14" t="s">
        <v>201</v>
      </c>
      <c r="I14" s="15">
        <v>5</v>
      </c>
      <c r="J14" s="15">
        <v>4</v>
      </c>
      <c r="K14" s="15">
        <v>5</v>
      </c>
      <c r="L14" s="15">
        <v>4</v>
      </c>
      <c r="M14" s="15">
        <v>4</v>
      </c>
      <c r="N14" s="15">
        <v>4</v>
      </c>
      <c r="O14" s="15">
        <v>5</v>
      </c>
      <c r="P14" s="15">
        <v>5</v>
      </c>
      <c r="Q14" s="15">
        <v>4</v>
      </c>
      <c r="R14" s="15">
        <v>3</v>
      </c>
      <c r="S14" s="15">
        <v>4</v>
      </c>
      <c r="T14" s="15">
        <v>5</v>
      </c>
      <c r="U14" s="15">
        <v>4</v>
      </c>
      <c r="V14" s="15">
        <v>4</v>
      </c>
      <c r="W14" s="15">
        <v>3</v>
      </c>
      <c r="X14" s="15">
        <v>4</v>
      </c>
      <c r="Y14" s="15">
        <v>4</v>
      </c>
      <c r="Z14" s="15">
        <v>5</v>
      </c>
      <c r="AA14" s="15">
        <v>4</v>
      </c>
      <c r="AB14" s="15">
        <v>5</v>
      </c>
    </row>
    <row r="15" spans="1:28" x14ac:dyDescent="0.25">
      <c r="A15" s="14">
        <v>10</v>
      </c>
      <c r="B15" s="14" t="s">
        <v>81</v>
      </c>
      <c r="C15" s="14">
        <v>56</v>
      </c>
      <c r="D15" s="14" t="s">
        <v>153</v>
      </c>
      <c r="E15" s="14" t="s">
        <v>210</v>
      </c>
      <c r="F15" s="14" t="s">
        <v>155</v>
      </c>
      <c r="G15" s="14" t="s">
        <v>155</v>
      </c>
      <c r="H15" s="14" t="s">
        <v>201</v>
      </c>
      <c r="I15" s="15">
        <v>5</v>
      </c>
      <c r="J15" s="15">
        <v>4</v>
      </c>
      <c r="K15" s="15">
        <v>4</v>
      </c>
      <c r="L15" s="15">
        <v>4</v>
      </c>
      <c r="M15" s="15">
        <v>4</v>
      </c>
      <c r="N15" s="15">
        <v>4</v>
      </c>
      <c r="O15" s="15">
        <v>4</v>
      </c>
      <c r="P15" s="15">
        <v>4</v>
      </c>
      <c r="Q15" s="15">
        <v>3</v>
      </c>
      <c r="R15" s="15">
        <v>4</v>
      </c>
      <c r="S15" s="15">
        <v>4</v>
      </c>
      <c r="T15" s="15">
        <v>4</v>
      </c>
      <c r="U15" s="15">
        <v>4</v>
      </c>
      <c r="V15" s="15">
        <v>4</v>
      </c>
      <c r="W15" s="15">
        <v>5</v>
      </c>
      <c r="X15" s="15">
        <v>5</v>
      </c>
      <c r="Y15" s="15">
        <v>4</v>
      </c>
      <c r="Z15" s="15">
        <v>4</v>
      </c>
      <c r="AA15" s="15">
        <v>4</v>
      </c>
      <c r="AB15" s="15">
        <v>4</v>
      </c>
    </row>
    <row r="16" spans="1:28" x14ac:dyDescent="0.25">
      <c r="A16" s="14">
        <v>11</v>
      </c>
      <c r="B16" s="14" t="s">
        <v>81</v>
      </c>
      <c r="C16" s="14">
        <v>45</v>
      </c>
      <c r="D16" s="14" t="s">
        <v>153</v>
      </c>
      <c r="E16" s="14" t="s">
        <v>212</v>
      </c>
      <c r="F16" s="14" t="s">
        <v>155</v>
      </c>
      <c r="G16" s="14" t="s">
        <v>155</v>
      </c>
      <c r="H16" s="14" t="s">
        <v>201</v>
      </c>
      <c r="I16" s="15">
        <v>4</v>
      </c>
      <c r="J16" s="15">
        <v>4</v>
      </c>
      <c r="K16" s="15">
        <v>4</v>
      </c>
      <c r="L16" s="15">
        <v>4</v>
      </c>
      <c r="M16" s="15">
        <v>4</v>
      </c>
      <c r="N16" s="15">
        <v>4</v>
      </c>
      <c r="O16" s="15">
        <v>4</v>
      </c>
      <c r="P16" s="15">
        <v>4</v>
      </c>
      <c r="Q16" s="15">
        <v>4</v>
      </c>
      <c r="R16" s="15">
        <v>4</v>
      </c>
      <c r="S16" s="15">
        <v>4</v>
      </c>
      <c r="T16" s="15">
        <v>4</v>
      </c>
      <c r="U16" s="15">
        <v>4</v>
      </c>
      <c r="V16" s="15">
        <v>4</v>
      </c>
      <c r="W16" s="15">
        <v>4</v>
      </c>
      <c r="X16" s="15">
        <v>4</v>
      </c>
      <c r="Y16" s="15">
        <v>4</v>
      </c>
      <c r="Z16" s="15">
        <v>4</v>
      </c>
      <c r="AA16" s="15">
        <v>4</v>
      </c>
      <c r="AB16" s="15">
        <v>4</v>
      </c>
    </row>
    <row r="17" spans="1:28" x14ac:dyDescent="0.25">
      <c r="A17" s="14">
        <v>12</v>
      </c>
      <c r="B17" s="14" t="s">
        <v>81</v>
      </c>
      <c r="C17" s="14">
        <v>67</v>
      </c>
      <c r="D17" s="14" t="s">
        <v>153</v>
      </c>
      <c r="E17" s="14" t="s">
        <v>210</v>
      </c>
      <c r="F17" s="14" t="s">
        <v>155</v>
      </c>
      <c r="G17" s="14" t="s">
        <v>155</v>
      </c>
      <c r="H17" s="14" t="s">
        <v>201</v>
      </c>
      <c r="I17" s="15">
        <v>4</v>
      </c>
      <c r="J17" s="15">
        <v>4</v>
      </c>
      <c r="K17" s="15">
        <v>4</v>
      </c>
      <c r="L17" s="15">
        <v>4</v>
      </c>
      <c r="M17" s="15">
        <v>4</v>
      </c>
      <c r="N17" s="15">
        <v>4</v>
      </c>
      <c r="O17" s="15">
        <v>4</v>
      </c>
      <c r="P17" s="15">
        <v>4</v>
      </c>
      <c r="Q17" s="15">
        <v>4</v>
      </c>
      <c r="R17" s="15">
        <v>4</v>
      </c>
      <c r="S17" s="15">
        <v>4</v>
      </c>
      <c r="T17" s="15">
        <v>4</v>
      </c>
      <c r="U17" s="15">
        <v>4</v>
      </c>
      <c r="V17" s="15">
        <v>4</v>
      </c>
      <c r="W17" s="15">
        <v>4</v>
      </c>
      <c r="X17" s="15">
        <v>4</v>
      </c>
      <c r="Y17" s="15">
        <v>4</v>
      </c>
      <c r="Z17" s="15">
        <v>4</v>
      </c>
      <c r="AA17" s="15">
        <v>4</v>
      </c>
      <c r="AB17" s="15">
        <v>5</v>
      </c>
    </row>
    <row r="18" spans="1:28" x14ac:dyDescent="0.25">
      <c r="A18" s="14">
        <v>13</v>
      </c>
      <c r="B18" s="14" t="s">
        <v>81</v>
      </c>
      <c r="C18" s="14">
        <v>42</v>
      </c>
      <c r="D18" s="14" t="s">
        <v>153</v>
      </c>
      <c r="E18" s="14" t="s">
        <v>210</v>
      </c>
      <c r="F18" s="14" t="s">
        <v>155</v>
      </c>
      <c r="G18" s="14" t="s">
        <v>155</v>
      </c>
      <c r="H18" s="14" t="s">
        <v>209</v>
      </c>
      <c r="I18" s="15">
        <v>4</v>
      </c>
      <c r="J18" s="15">
        <v>4</v>
      </c>
      <c r="K18" s="15">
        <v>5</v>
      </c>
      <c r="L18" s="15">
        <v>4</v>
      </c>
      <c r="M18" s="15">
        <v>5</v>
      </c>
      <c r="N18" s="15">
        <v>4</v>
      </c>
      <c r="O18" s="15">
        <v>4</v>
      </c>
      <c r="P18" s="15">
        <v>5</v>
      </c>
      <c r="Q18" s="15">
        <v>4</v>
      </c>
      <c r="R18" s="15">
        <v>5</v>
      </c>
      <c r="S18" s="15">
        <v>4</v>
      </c>
      <c r="T18" s="15">
        <v>5</v>
      </c>
      <c r="U18" s="15">
        <v>5</v>
      </c>
      <c r="V18" s="15">
        <v>5</v>
      </c>
      <c r="W18" s="15">
        <v>4</v>
      </c>
      <c r="X18" s="15">
        <v>4</v>
      </c>
      <c r="Y18" s="15">
        <v>4</v>
      </c>
      <c r="Z18" s="15">
        <v>4</v>
      </c>
      <c r="AA18" s="15">
        <v>5</v>
      </c>
      <c r="AB18" s="15">
        <v>4</v>
      </c>
    </row>
    <row r="19" spans="1:28" x14ac:dyDescent="0.25">
      <c r="A19" s="14">
        <v>14</v>
      </c>
      <c r="B19" s="14" t="s">
        <v>81</v>
      </c>
      <c r="C19" s="14">
        <v>50</v>
      </c>
      <c r="D19" s="14" t="s">
        <v>153</v>
      </c>
      <c r="E19" s="14" t="s">
        <v>210</v>
      </c>
      <c r="F19" s="14" t="s">
        <v>155</v>
      </c>
      <c r="G19" s="14" t="s">
        <v>155</v>
      </c>
      <c r="H19" s="14" t="s">
        <v>201</v>
      </c>
      <c r="I19" s="15">
        <v>4</v>
      </c>
      <c r="J19" s="15">
        <v>4</v>
      </c>
      <c r="K19" s="15">
        <v>4</v>
      </c>
      <c r="L19" s="15">
        <v>4</v>
      </c>
      <c r="M19" s="15">
        <v>5</v>
      </c>
      <c r="N19" s="15">
        <v>5</v>
      </c>
      <c r="O19" s="15">
        <v>5</v>
      </c>
      <c r="P19" s="15">
        <v>4</v>
      </c>
      <c r="Q19" s="15">
        <v>4</v>
      </c>
      <c r="R19" s="15">
        <v>3</v>
      </c>
      <c r="S19" s="15">
        <v>5</v>
      </c>
      <c r="T19" s="15">
        <v>5</v>
      </c>
      <c r="U19" s="15">
        <v>4</v>
      </c>
      <c r="V19" s="15">
        <v>4</v>
      </c>
      <c r="W19" s="15">
        <v>5</v>
      </c>
      <c r="X19" s="15">
        <v>5</v>
      </c>
      <c r="Y19" s="15">
        <v>4</v>
      </c>
      <c r="Z19" s="15">
        <v>4</v>
      </c>
      <c r="AA19" s="15">
        <v>4</v>
      </c>
      <c r="AB19" s="15">
        <v>4</v>
      </c>
    </row>
    <row r="20" spans="1:28" x14ac:dyDescent="0.25">
      <c r="A20" s="14">
        <v>15</v>
      </c>
      <c r="B20" s="14" t="s">
        <v>81</v>
      </c>
      <c r="C20" s="14">
        <v>60</v>
      </c>
      <c r="D20" s="14" t="s">
        <v>153</v>
      </c>
      <c r="E20" s="14" t="s">
        <v>210</v>
      </c>
      <c r="F20" s="14" t="s">
        <v>155</v>
      </c>
      <c r="G20" s="14" t="s">
        <v>155</v>
      </c>
      <c r="H20" s="14" t="s">
        <v>209</v>
      </c>
      <c r="I20" s="15">
        <v>4</v>
      </c>
      <c r="J20" s="15">
        <v>4</v>
      </c>
      <c r="K20" s="15">
        <v>4</v>
      </c>
      <c r="L20" s="15">
        <v>3</v>
      </c>
      <c r="M20" s="15">
        <v>3</v>
      </c>
      <c r="N20" s="15">
        <v>4</v>
      </c>
      <c r="O20" s="15">
        <v>4</v>
      </c>
      <c r="P20" s="15">
        <v>4</v>
      </c>
      <c r="Q20" s="15">
        <v>5</v>
      </c>
      <c r="R20" s="15">
        <v>5</v>
      </c>
      <c r="S20" s="15">
        <v>4</v>
      </c>
      <c r="T20" s="15">
        <v>4</v>
      </c>
      <c r="U20" s="15">
        <v>3</v>
      </c>
      <c r="V20" s="15">
        <v>3</v>
      </c>
      <c r="W20" s="15">
        <v>5</v>
      </c>
      <c r="X20" s="15">
        <v>5</v>
      </c>
      <c r="Y20" s="15">
        <v>4</v>
      </c>
      <c r="Z20" s="15">
        <v>4</v>
      </c>
      <c r="AA20" s="15">
        <v>5</v>
      </c>
      <c r="AB20" s="15">
        <v>4</v>
      </c>
    </row>
    <row r="21" spans="1:28" x14ac:dyDescent="0.25">
      <c r="A21" s="14">
        <v>16</v>
      </c>
      <c r="B21" s="14" t="s">
        <v>81</v>
      </c>
      <c r="C21" s="14">
        <v>59</v>
      </c>
      <c r="D21" s="14" t="s">
        <v>153</v>
      </c>
      <c r="E21" s="14" t="s">
        <v>214</v>
      </c>
      <c r="F21" s="14" t="s">
        <v>155</v>
      </c>
      <c r="G21" s="14" t="s">
        <v>155</v>
      </c>
      <c r="H21" s="14" t="s">
        <v>209</v>
      </c>
      <c r="I21" s="15">
        <v>4</v>
      </c>
      <c r="J21" s="15">
        <v>5</v>
      </c>
      <c r="K21" s="15">
        <v>4</v>
      </c>
      <c r="L21" s="15">
        <v>5</v>
      </c>
      <c r="M21" s="15">
        <v>4</v>
      </c>
      <c r="N21" s="15">
        <v>5</v>
      </c>
      <c r="O21" s="15">
        <v>5</v>
      </c>
      <c r="P21" s="15">
        <v>4</v>
      </c>
      <c r="Q21" s="15">
        <v>5</v>
      </c>
      <c r="R21" s="15">
        <v>5</v>
      </c>
      <c r="S21" s="15">
        <v>4</v>
      </c>
      <c r="T21" s="15">
        <v>5</v>
      </c>
      <c r="U21" s="15">
        <v>4</v>
      </c>
      <c r="V21" s="15">
        <v>4</v>
      </c>
      <c r="W21" s="15">
        <v>4</v>
      </c>
      <c r="X21" s="15">
        <v>5</v>
      </c>
      <c r="Y21" s="15">
        <v>5</v>
      </c>
      <c r="Z21" s="15">
        <v>5</v>
      </c>
      <c r="AA21" s="15">
        <v>4</v>
      </c>
      <c r="AB21" s="15">
        <v>4</v>
      </c>
    </row>
    <row r="22" spans="1:28" x14ac:dyDescent="0.25">
      <c r="A22" s="14">
        <v>17</v>
      </c>
      <c r="B22" s="14" t="s">
        <v>81</v>
      </c>
      <c r="C22" s="14">
        <v>67</v>
      </c>
      <c r="D22" s="14" t="s">
        <v>153</v>
      </c>
      <c r="E22" s="14" t="s">
        <v>210</v>
      </c>
      <c r="F22" s="14" t="s">
        <v>155</v>
      </c>
      <c r="G22" s="14" t="s">
        <v>155</v>
      </c>
      <c r="H22" s="14" t="s">
        <v>201</v>
      </c>
      <c r="I22" s="15">
        <v>4</v>
      </c>
      <c r="J22" s="15">
        <v>4</v>
      </c>
      <c r="K22" s="15">
        <v>4</v>
      </c>
      <c r="L22" s="15">
        <v>4</v>
      </c>
      <c r="M22" s="15">
        <v>4</v>
      </c>
      <c r="N22" s="15">
        <v>4</v>
      </c>
      <c r="O22" s="15">
        <v>4</v>
      </c>
      <c r="P22" s="15">
        <v>4</v>
      </c>
      <c r="Q22" s="15">
        <v>4</v>
      </c>
      <c r="R22" s="15">
        <v>4</v>
      </c>
      <c r="S22" s="15">
        <v>4</v>
      </c>
      <c r="T22" s="15">
        <v>4</v>
      </c>
      <c r="U22" s="15">
        <v>4</v>
      </c>
      <c r="V22" s="15">
        <v>4</v>
      </c>
      <c r="W22" s="15">
        <v>4</v>
      </c>
      <c r="X22" s="15">
        <v>4</v>
      </c>
      <c r="Y22" s="15">
        <v>4</v>
      </c>
      <c r="Z22" s="15">
        <v>4</v>
      </c>
      <c r="AA22" s="15">
        <v>4</v>
      </c>
      <c r="AB22" s="15">
        <v>4</v>
      </c>
    </row>
    <row r="23" spans="1:28" x14ac:dyDescent="0.25">
      <c r="A23" s="14">
        <v>18</v>
      </c>
      <c r="B23" s="14" t="s">
        <v>81</v>
      </c>
      <c r="C23" s="14">
        <v>56</v>
      </c>
      <c r="D23" s="14" t="s">
        <v>153</v>
      </c>
      <c r="E23" s="37" t="s">
        <v>215</v>
      </c>
      <c r="F23" s="14" t="s">
        <v>155</v>
      </c>
      <c r="G23" s="14" t="s">
        <v>155</v>
      </c>
      <c r="H23" s="14" t="s">
        <v>209</v>
      </c>
      <c r="I23" s="15">
        <v>4</v>
      </c>
      <c r="J23" s="15">
        <v>4</v>
      </c>
      <c r="K23" s="15">
        <v>4</v>
      </c>
      <c r="L23" s="15">
        <v>4</v>
      </c>
      <c r="M23" s="15">
        <v>4</v>
      </c>
      <c r="N23" s="15">
        <v>4</v>
      </c>
      <c r="O23" s="15">
        <v>4</v>
      </c>
      <c r="P23" s="15">
        <v>4</v>
      </c>
      <c r="Q23" s="15">
        <v>4</v>
      </c>
      <c r="R23" s="15">
        <v>4</v>
      </c>
      <c r="S23" s="15">
        <v>4</v>
      </c>
      <c r="T23" s="15">
        <v>4</v>
      </c>
      <c r="U23" s="15">
        <v>4</v>
      </c>
      <c r="V23" s="15">
        <v>4</v>
      </c>
      <c r="W23" s="15">
        <v>4</v>
      </c>
      <c r="X23" s="15">
        <v>4</v>
      </c>
      <c r="Y23" s="15">
        <v>4</v>
      </c>
      <c r="Z23" s="15">
        <v>4</v>
      </c>
      <c r="AA23" s="15">
        <v>4</v>
      </c>
      <c r="AB23" s="15">
        <v>4</v>
      </c>
    </row>
    <row r="24" spans="1:28" x14ac:dyDescent="0.25">
      <c r="A24" s="14">
        <v>19</v>
      </c>
      <c r="B24" s="14" t="s">
        <v>81</v>
      </c>
      <c r="C24" s="14">
        <v>38</v>
      </c>
      <c r="D24" s="14" t="s">
        <v>153</v>
      </c>
      <c r="E24" s="14" t="s">
        <v>212</v>
      </c>
      <c r="F24" s="14" t="s">
        <v>155</v>
      </c>
      <c r="G24" s="14" t="s">
        <v>155</v>
      </c>
      <c r="H24" s="14" t="s">
        <v>201</v>
      </c>
      <c r="I24" s="15">
        <v>5</v>
      </c>
      <c r="J24" s="15">
        <v>5</v>
      </c>
      <c r="K24" s="15">
        <v>5</v>
      </c>
      <c r="L24" s="15">
        <v>5</v>
      </c>
      <c r="M24" s="15">
        <v>5</v>
      </c>
      <c r="N24" s="15">
        <v>5</v>
      </c>
      <c r="O24" s="15">
        <v>5</v>
      </c>
      <c r="P24" s="15">
        <v>5</v>
      </c>
      <c r="Q24" s="15">
        <v>5</v>
      </c>
      <c r="R24" s="15">
        <v>5</v>
      </c>
      <c r="S24" s="15">
        <v>5</v>
      </c>
      <c r="T24" s="15">
        <v>5</v>
      </c>
      <c r="U24" s="15">
        <v>5</v>
      </c>
      <c r="V24" s="15">
        <v>5</v>
      </c>
      <c r="W24" s="15">
        <v>5</v>
      </c>
      <c r="X24" s="15">
        <v>5</v>
      </c>
      <c r="Y24" s="15">
        <v>5</v>
      </c>
      <c r="Z24" s="15">
        <v>5</v>
      </c>
      <c r="AA24" s="15">
        <v>5</v>
      </c>
      <c r="AB24" s="15">
        <v>5</v>
      </c>
    </row>
    <row r="25" spans="1:28" x14ac:dyDescent="0.25">
      <c r="A25" s="14">
        <v>20</v>
      </c>
      <c r="B25" s="14" t="s">
        <v>81</v>
      </c>
      <c r="C25" s="14">
        <v>52</v>
      </c>
      <c r="D25" s="14" t="s">
        <v>153</v>
      </c>
      <c r="E25" s="14" t="s">
        <v>210</v>
      </c>
      <c r="F25" s="14" t="s">
        <v>155</v>
      </c>
      <c r="G25" s="14" t="s">
        <v>155</v>
      </c>
      <c r="H25" s="14" t="s">
        <v>209</v>
      </c>
      <c r="I25" s="15">
        <v>5</v>
      </c>
      <c r="J25" s="15">
        <v>4</v>
      </c>
      <c r="K25" s="15">
        <v>4</v>
      </c>
      <c r="L25" s="15">
        <v>4</v>
      </c>
      <c r="M25" s="15">
        <v>4</v>
      </c>
      <c r="N25" s="15">
        <v>4</v>
      </c>
      <c r="O25" s="15">
        <v>4</v>
      </c>
      <c r="P25" s="15">
        <v>4</v>
      </c>
      <c r="Q25" s="15">
        <v>4</v>
      </c>
      <c r="R25" s="15">
        <v>4</v>
      </c>
      <c r="S25" s="15">
        <v>4</v>
      </c>
      <c r="T25" s="15">
        <v>4</v>
      </c>
      <c r="U25" s="15">
        <v>4</v>
      </c>
      <c r="V25" s="15">
        <v>5</v>
      </c>
      <c r="W25" s="15">
        <v>4</v>
      </c>
      <c r="X25" s="15">
        <v>4</v>
      </c>
      <c r="Y25" s="15">
        <v>5</v>
      </c>
      <c r="Z25" s="15">
        <v>5</v>
      </c>
      <c r="AA25" s="15">
        <v>5</v>
      </c>
      <c r="AB25" s="15">
        <v>4</v>
      </c>
    </row>
  </sheetData>
  <dataValidations count="1">
    <dataValidation type="whole" allowBlank="1" showErrorMessage="1" errorTitle="Use 1 to 5" error="Enter the weight the respondent ticked: 5 Strongly Agree down to 1 Strongly Disagree." sqref="I6:AB25">
      <formula1>1</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showGridLines="0" workbookViewId="0">
      <pane xSplit="4" ySplit="5" topLeftCell="E6" activePane="bottomRight" state="frozen"/>
      <selection pane="topRight"/>
      <selection pane="bottomLeft"/>
      <selection pane="bottomRight" activeCell="G9" sqref="G9"/>
    </sheetView>
  </sheetViews>
  <sheetFormatPr defaultRowHeight="15" x14ac:dyDescent="0.25"/>
  <cols>
    <col min="1" max="1" width="12" customWidth="1"/>
    <col min="2" max="2" width="24" customWidth="1"/>
    <col min="3" max="3" width="7" customWidth="1"/>
    <col min="4" max="4" width="10" customWidth="1"/>
    <col min="5" max="11" width="6" customWidth="1"/>
  </cols>
  <sheetData>
    <row r="1" spans="1:11" ht="18" x14ac:dyDescent="0.25">
      <c r="A1" s="8" t="s">
        <v>33</v>
      </c>
    </row>
    <row r="2" spans="1:11" x14ac:dyDescent="0.25">
      <c r="A2" s="9" t="s">
        <v>157</v>
      </c>
    </row>
    <row r="3" spans="1:11" ht="189.95" customHeight="1" x14ac:dyDescent="0.25">
      <c r="E3" s="10" t="s">
        <v>158</v>
      </c>
      <c r="F3" s="10" t="s">
        <v>159</v>
      </c>
      <c r="G3" s="10" t="s">
        <v>160</v>
      </c>
      <c r="H3" s="10" t="s">
        <v>161</v>
      </c>
      <c r="I3" s="10" t="s">
        <v>162</v>
      </c>
      <c r="J3" s="10" t="s">
        <v>163</v>
      </c>
      <c r="K3" s="10" t="s">
        <v>164</v>
      </c>
    </row>
    <row r="4" spans="1:11" ht="30" customHeight="1" x14ac:dyDescent="0.25">
      <c r="A4" s="11" t="s">
        <v>80</v>
      </c>
      <c r="B4" s="11" t="s">
        <v>81</v>
      </c>
      <c r="C4" s="11" t="s">
        <v>82</v>
      </c>
      <c r="D4" s="11" t="s">
        <v>83</v>
      </c>
      <c r="E4" s="12" t="s">
        <v>88</v>
      </c>
      <c r="F4" s="12" t="s">
        <v>89</v>
      </c>
      <c r="G4" s="12" t="s">
        <v>90</v>
      </c>
      <c r="H4" s="12" t="s">
        <v>96</v>
      </c>
      <c r="I4" s="12" t="s">
        <v>97</v>
      </c>
      <c r="J4" s="12" t="s">
        <v>102</v>
      </c>
      <c r="K4" s="12" t="s">
        <v>103</v>
      </c>
    </row>
    <row r="5" spans="1:11" x14ac:dyDescent="0.25">
      <c r="A5" s="13" t="s">
        <v>122</v>
      </c>
      <c r="B5" s="13" t="s">
        <v>165</v>
      </c>
      <c r="C5" s="13">
        <v>33</v>
      </c>
      <c r="D5" s="13" t="s">
        <v>124</v>
      </c>
      <c r="E5" s="13">
        <v>5</v>
      </c>
      <c r="F5" s="13">
        <v>4</v>
      </c>
      <c r="G5" s="13">
        <v>5</v>
      </c>
      <c r="H5" s="13">
        <v>4</v>
      </c>
      <c r="I5" s="13">
        <v>5</v>
      </c>
      <c r="J5" s="13">
        <v>5</v>
      </c>
      <c r="K5" s="13">
        <v>4</v>
      </c>
    </row>
    <row r="6" spans="1:11" x14ac:dyDescent="0.25">
      <c r="A6" s="14">
        <v>1</v>
      </c>
      <c r="B6" s="14" t="s">
        <v>81</v>
      </c>
      <c r="C6" s="14">
        <v>22</v>
      </c>
      <c r="D6" s="14" t="s">
        <v>153</v>
      </c>
      <c r="E6" s="15">
        <v>5</v>
      </c>
      <c r="F6" s="15">
        <v>5</v>
      </c>
      <c r="G6" s="15">
        <v>5</v>
      </c>
      <c r="H6" s="15">
        <v>5</v>
      </c>
      <c r="I6" s="15">
        <v>5</v>
      </c>
      <c r="J6" s="15">
        <v>4</v>
      </c>
      <c r="K6" s="15">
        <v>4</v>
      </c>
    </row>
  </sheetData>
  <dataValidations count="1">
    <dataValidation type="whole" allowBlank="1" showErrorMessage="1" errorTitle="Use 1 to 5" error="Enter the weight the respondent ticked: 5 Strongly Agree down to 1 Strongly Disagree." sqref="E6:K6">
      <formula1>1</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showGridLines="0" workbookViewId="0">
      <pane ySplit="4" topLeftCell="A5" activePane="bottomLeft" state="frozen"/>
      <selection pane="bottomLeft"/>
    </sheetView>
  </sheetViews>
  <sheetFormatPr defaultRowHeight="15" x14ac:dyDescent="0.25"/>
  <cols>
    <col min="1" max="1" width="4" customWidth="1"/>
    <col min="2" max="2" width="58" customWidth="1"/>
    <col min="3" max="7" width="7" customWidth="1"/>
    <col min="8" max="8" width="8" customWidth="1"/>
    <col min="9" max="9" width="15" customWidth="1"/>
    <col min="10" max="10" width="20" customWidth="1"/>
  </cols>
  <sheetData>
    <row r="1" spans="1:10" ht="18" x14ac:dyDescent="0.25">
      <c r="A1" s="8" t="s">
        <v>35</v>
      </c>
    </row>
    <row r="2" spans="1:10" x14ac:dyDescent="0.25">
      <c r="A2" s="9" t="s">
        <v>166</v>
      </c>
    </row>
    <row r="4" spans="1:10" ht="26.1" customHeight="1" x14ac:dyDescent="0.25">
      <c r="A4" s="16" t="s">
        <v>167</v>
      </c>
      <c r="B4" s="16" t="s">
        <v>168</v>
      </c>
      <c r="C4" s="16" t="s">
        <v>169</v>
      </c>
      <c r="D4" s="16" t="s">
        <v>170</v>
      </c>
      <c r="E4" s="16" t="s">
        <v>171</v>
      </c>
      <c r="F4" s="16" t="s">
        <v>172</v>
      </c>
      <c r="G4" s="16" t="s">
        <v>173</v>
      </c>
      <c r="H4" s="16" t="s">
        <v>174</v>
      </c>
      <c r="I4" s="16" t="s">
        <v>16</v>
      </c>
      <c r="J4" s="16" t="s">
        <v>175</v>
      </c>
    </row>
    <row r="5" spans="1:10" x14ac:dyDescent="0.25">
      <c r="A5" s="33" t="s">
        <v>176</v>
      </c>
      <c r="B5" s="34"/>
      <c r="C5" s="34"/>
      <c r="D5" s="34"/>
      <c r="E5" s="34"/>
      <c r="F5" s="34"/>
      <c r="G5" s="34"/>
      <c r="H5" s="34"/>
      <c r="I5" s="34"/>
      <c r="J5" s="35"/>
    </row>
    <row r="6" spans="1:10" x14ac:dyDescent="0.25">
      <c r="A6" s="17">
        <v>1</v>
      </c>
      <c r="B6" s="18" t="s">
        <v>47</v>
      </c>
      <c r="C6" s="17">
        <f>COUNTIF('Passenger Responses'!$I$6:$I$25,5)</f>
        <v>3</v>
      </c>
      <c r="D6" s="17">
        <f>COUNTIF('Passenger Responses'!$I$6:$I$25,4)</f>
        <v>16</v>
      </c>
      <c r="E6" s="17">
        <f>COUNTIF('Passenger Responses'!$I$6:$I$25,3)</f>
        <v>1</v>
      </c>
      <c r="F6" s="17">
        <f>COUNTIF('Passenger Responses'!$I$6:$I$25,2)</f>
        <v>0</v>
      </c>
      <c r="G6" s="17">
        <f>COUNTIF('Passenger Responses'!$I$6:$I$25,1)</f>
        <v>0</v>
      </c>
      <c r="H6" s="17">
        <f>COUNT('Passenger Responses'!$I$6:$I$25)</f>
        <v>20</v>
      </c>
      <c r="I6" s="19">
        <f t="shared" ref="I6:I13" si="0">IF(H6=0,"",(C6*5+D6*4+E6*3+F6*2+G6*1)/H6)</f>
        <v>4.0999999999999996</v>
      </c>
      <c r="J6" s="17" t="str">
        <f t="shared" ref="J6:J14" si="1">IF(I6="","",IF(I6&gt;=4.21,"Strongly Agree",IF(I6&gt;=3.41,"Agree",IF(I6&gt;=2.61,"Neutral",IF(I6&gt;=1.81,"Disagree","Strongly Disagree")))))</f>
        <v>Agree</v>
      </c>
    </row>
    <row r="7" spans="1:10" x14ac:dyDescent="0.25">
      <c r="A7" s="17">
        <v>2</v>
      </c>
      <c r="B7" s="18" t="s">
        <v>48</v>
      </c>
      <c r="C7" s="17">
        <f>COUNTIF('Passenger Responses'!$J$6:$J$25,5)</f>
        <v>1</v>
      </c>
      <c r="D7" s="17">
        <f>COUNTIF('Passenger Responses'!$J$6:$J$25,4)</f>
        <v>19</v>
      </c>
      <c r="E7" s="17">
        <f>COUNTIF('Passenger Responses'!$J$6:$J$25,3)</f>
        <v>0</v>
      </c>
      <c r="F7" s="17">
        <f>COUNTIF('Passenger Responses'!$J$6:$J$25,2)</f>
        <v>0</v>
      </c>
      <c r="G7" s="17">
        <f>COUNTIF('Passenger Responses'!$J$6:$J$25,1)</f>
        <v>0</v>
      </c>
      <c r="H7" s="17">
        <f>COUNT('Passenger Responses'!$J$6:$J$25)</f>
        <v>20</v>
      </c>
      <c r="I7" s="19">
        <f t="shared" si="0"/>
        <v>4.05</v>
      </c>
      <c r="J7" s="17" t="str">
        <f t="shared" si="1"/>
        <v>Agree</v>
      </c>
    </row>
    <row r="8" spans="1:10" x14ac:dyDescent="0.25">
      <c r="A8" s="17">
        <v>3</v>
      </c>
      <c r="B8" s="18" t="s">
        <v>49</v>
      </c>
      <c r="C8" s="17">
        <f>COUNTIF('Passenger Responses'!$K$6:$K$25,5)</f>
        <v>10</v>
      </c>
      <c r="D8" s="17">
        <f>COUNTIF('Passenger Responses'!$K$6:$K$25,4)</f>
        <v>9</v>
      </c>
      <c r="E8" s="17">
        <f>COUNTIF('Passenger Responses'!$K$6:$K$25,3)</f>
        <v>1</v>
      </c>
      <c r="F8" s="17">
        <f>COUNTIF('Passenger Responses'!$K$6:$K$25,2)</f>
        <v>0</v>
      </c>
      <c r="G8" s="17">
        <f>COUNTIF('Passenger Responses'!$K$6:$K$25,1)</f>
        <v>0</v>
      </c>
      <c r="H8" s="17">
        <f>COUNT('Passenger Responses'!$K$6:$K$25)</f>
        <v>20</v>
      </c>
      <c r="I8" s="19">
        <f t="shared" si="0"/>
        <v>4.45</v>
      </c>
      <c r="J8" s="17" t="str">
        <f t="shared" si="1"/>
        <v>Strongly Agree</v>
      </c>
    </row>
    <row r="9" spans="1:10" x14ac:dyDescent="0.25">
      <c r="A9" s="17">
        <v>4</v>
      </c>
      <c r="B9" s="18" t="s">
        <v>50</v>
      </c>
      <c r="C9" s="17">
        <f>COUNTIF('Passenger Responses'!$L$6:$L$25,5)</f>
        <v>4</v>
      </c>
      <c r="D9" s="17">
        <f>COUNTIF('Passenger Responses'!$L$6:$L$25,4)</f>
        <v>14</v>
      </c>
      <c r="E9" s="17">
        <f>COUNTIF('Passenger Responses'!$L$6:$L$25,3)</f>
        <v>2</v>
      </c>
      <c r="F9" s="17">
        <f>COUNTIF('Passenger Responses'!$L$6:$L$25,2)</f>
        <v>0</v>
      </c>
      <c r="G9" s="17">
        <f>COUNTIF('Passenger Responses'!$L$6:$L$25,1)</f>
        <v>0</v>
      </c>
      <c r="H9" s="17">
        <f>COUNT('Passenger Responses'!$L$6:$L$25)</f>
        <v>20</v>
      </c>
      <c r="I9" s="19">
        <f t="shared" si="0"/>
        <v>4.0999999999999996</v>
      </c>
      <c r="J9" s="17" t="str">
        <f t="shared" si="1"/>
        <v>Agree</v>
      </c>
    </row>
    <row r="10" spans="1:10" x14ac:dyDescent="0.25">
      <c r="A10" s="17">
        <v>5</v>
      </c>
      <c r="B10" s="18" t="s">
        <v>51</v>
      </c>
      <c r="C10" s="17">
        <f>COUNTIF('Passenger Responses'!$M$6:$M$25,5)</f>
        <v>9</v>
      </c>
      <c r="D10" s="17">
        <f>COUNTIF('Passenger Responses'!$M$6:$M$25,4)</f>
        <v>10</v>
      </c>
      <c r="E10" s="17">
        <f>COUNTIF('Passenger Responses'!$M$6:$M$25,3)</f>
        <v>1</v>
      </c>
      <c r="F10" s="17">
        <f>COUNTIF('Passenger Responses'!$M$6:$M$25,2)</f>
        <v>0</v>
      </c>
      <c r="G10" s="17">
        <f>COUNTIF('Passenger Responses'!$M$6:$M$25,1)</f>
        <v>0</v>
      </c>
      <c r="H10" s="17">
        <f>COUNT('Passenger Responses'!$M$6:$M$25)</f>
        <v>20</v>
      </c>
      <c r="I10" s="19">
        <f t="shared" si="0"/>
        <v>4.4000000000000004</v>
      </c>
      <c r="J10" s="17" t="str">
        <f t="shared" si="1"/>
        <v>Strongly Agree</v>
      </c>
    </row>
    <row r="11" spans="1:10" x14ac:dyDescent="0.25">
      <c r="A11" s="17">
        <v>6</v>
      </c>
      <c r="B11" s="18" t="s">
        <v>52</v>
      </c>
      <c r="C11" s="17">
        <f>COUNTIF('Passenger Responses'!$N$6:$N$25,5)</f>
        <v>5</v>
      </c>
      <c r="D11" s="17">
        <f>COUNTIF('Passenger Responses'!$N$6:$N$25,4)</f>
        <v>15</v>
      </c>
      <c r="E11" s="17">
        <f>COUNTIF('Passenger Responses'!$N$6:$N$25,3)</f>
        <v>0</v>
      </c>
      <c r="F11" s="17">
        <f>COUNTIF('Passenger Responses'!$N$6:$N$25,2)</f>
        <v>0</v>
      </c>
      <c r="G11" s="17">
        <f>COUNTIF('Passenger Responses'!$N$6:$N$25,1)</f>
        <v>0</v>
      </c>
      <c r="H11" s="17">
        <f>COUNT('Passenger Responses'!$N$6:$N$25)</f>
        <v>20</v>
      </c>
      <c r="I11" s="19">
        <f t="shared" si="0"/>
        <v>4.25</v>
      </c>
      <c r="J11" s="17" t="str">
        <f t="shared" si="1"/>
        <v>Strongly Agree</v>
      </c>
    </row>
    <row r="12" spans="1:10" x14ac:dyDescent="0.25">
      <c r="A12" s="17">
        <v>7</v>
      </c>
      <c r="B12" s="18" t="s">
        <v>53</v>
      </c>
      <c r="C12" s="17">
        <f>COUNTIF('Passenger Responses'!$O$6:$O$25,5)</f>
        <v>5</v>
      </c>
      <c r="D12" s="17">
        <f>COUNTIF('Passenger Responses'!$O$6:$O$25,4)</f>
        <v>15</v>
      </c>
      <c r="E12" s="17">
        <f>COUNTIF('Passenger Responses'!$O$6:$O$25,3)</f>
        <v>0</v>
      </c>
      <c r="F12" s="17">
        <f>COUNTIF('Passenger Responses'!$O$6:$O$25,2)</f>
        <v>0</v>
      </c>
      <c r="G12" s="17">
        <f>COUNTIF('Passenger Responses'!$O$6:$O$25,1)</f>
        <v>0</v>
      </c>
      <c r="H12" s="17">
        <f>COUNT('Passenger Responses'!$O$6:$O$25)</f>
        <v>20</v>
      </c>
      <c r="I12" s="19">
        <f t="shared" si="0"/>
        <v>4.25</v>
      </c>
      <c r="J12" s="17" t="str">
        <f t="shared" si="1"/>
        <v>Strongly Agree</v>
      </c>
    </row>
    <row r="13" spans="1:10" x14ac:dyDescent="0.25">
      <c r="A13" s="17">
        <v>8</v>
      </c>
      <c r="B13" s="18" t="s">
        <v>54</v>
      </c>
      <c r="C13" s="17">
        <f>COUNTIF('Passenger Responses'!$P$6:$P$25,5)</f>
        <v>4</v>
      </c>
      <c r="D13" s="17">
        <f>COUNTIF('Passenger Responses'!$P$6:$P$25,4)</f>
        <v>16</v>
      </c>
      <c r="E13" s="17">
        <f>COUNTIF('Passenger Responses'!$P$6:$P$25,3)</f>
        <v>0</v>
      </c>
      <c r="F13" s="17">
        <f>COUNTIF('Passenger Responses'!$P$6:$P$25,2)</f>
        <v>0</v>
      </c>
      <c r="G13" s="17">
        <f>COUNTIF('Passenger Responses'!$P$6:$P$25,1)</f>
        <v>0</v>
      </c>
      <c r="H13" s="17">
        <f>COUNT('Passenger Responses'!$P$6:$P$25)</f>
        <v>20</v>
      </c>
      <c r="I13" s="19">
        <f t="shared" si="0"/>
        <v>4.2</v>
      </c>
      <c r="J13" s="17" t="str">
        <f t="shared" si="1"/>
        <v>Agree</v>
      </c>
    </row>
    <row r="14" spans="1:10" x14ac:dyDescent="0.25">
      <c r="A14" s="20"/>
      <c r="B14" s="21" t="s">
        <v>177</v>
      </c>
      <c r="C14" s="22"/>
      <c r="D14" s="22"/>
      <c r="E14" s="22"/>
      <c r="F14" s="22"/>
      <c r="G14" s="22"/>
      <c r="H14" s="22"/>
      <c r="I14" s="23">
        <f>IFERROR(AVERAGE(I6:I13),"")</f>
        <v>4.2249999999999996</v>
      </c>
      <c r="J14" s="24" t="str">
        <f t="shared" si="1"/>
        <v>Strongly Agree</v>
      </c>
    </row>
    <row r="16" spans="1:10" x14ac:dyDescent="0.25">
      <c r="A16" s="33" t="s">
        <v>178</v>
      </c>
      <c r="B16" s="34"/>
      <c r="C16" s="34"/>
      <c r="D16" s="34"/>
      <c r="E16" s="34"/>
      <c r="F16" s="34"/>
      <c r="G16" s="34"/>
      <c r="H16" s="34"/>
      <c r="I16" s="34"/>
      <c r="J16" s="35"/>
    </row>
    <row r="17" spans="1:10" x14ac:dyDescent="0.25">
      <c r="A17" s="17">
        <v>1</v>
      </c>
      <c r="B17" s="18" t="s">
        <v>55</v>
      </c>
      <c r="C17" s="17">
        <f>COUNTIF('Passenger Responses'!$Q$6:$Q$25,5)</f>
        <v>7</v>
      </c>
      <c r="D17" s="17">
        <f>COUNTIF('Passenger Responses'!$Q$6:$Q$25,4)</f>
        <v>13</v>
      </c>
      <c r="E17" s="17">
        <f>COUNTIF('Passenger Responses'!$Q$6:$Q$25,3)</f>
        <v>0</v>
      </c>
      <c r="F17" s="17">
        <f>COUNTIF('Passenger Responses'!$Q$6:$Q$25,2)</f>
        <v>0</v>
      </c>
      <c r="G17" s="17">
        <f>COUNTIF('Passenger Responses'!$Q$6:$Q$25,1)</f>
        <v>0</v>
      </c>
      <c r="H17" s="17">
        <f>COUNT('Passenger Responses'!$Q$6:$Q$25)</f>
        <v>20</v>
      </c>
      <c r="I17" s="19">
        <f t="shared" ref="I17:I22" si="2">IF(H17=0,"",(C17*5+D17*4+E17*3+F17*2+G17*1)/H17)</f>
        <v>4.3499999999999996</v>
      </c>
      <c r="J17" s="17" t="str">
        <f t="shared" ref="J17:J23" si="3">IF(I17="","",IF(I17&gt;=4.21,"Strongly Agree",IF(I17&gt;=3.41,"Agree",IF(I17&gt;=2.61,"Neutral",IF(I17&gt;=1.81,"Disagree","Strongly Disagree")))))</f>
        <v>Strongly Agree</v>
      </c>
    </row>
    <row r="18" spans="1:10" x14ac:dyDescent="0.25">
      <c r="A18" s="17">
        <v>2</v>
      </c>
      <c r="B18" s="18" t="s">
        <v>56</v>
      </c>
      <c r="C18" s="17">
        <f>COUNTIF('Passenger Responses'!$R$6:$R$25,5)</f>
        <v>8</v>
      </c>
      <c r="D18" s="17">
        <f>COUNTIF('Passenger Responses'!$R$6:$R$25,4)</f>
        <v>12</v>
      </c>
      <c r="E18" s="17">
        <f>COUNTIF('Passenger Responses'!$R$6:$R$25,3)</f>
        <v>0</v>
      </c>
      <c r="F18" s="17">
        <f>COUNTIF('Passenger Responses'!$R$6:$R$25,2)</f>
        <v>0</v>
      </c>
      <c r="G18" s="17">
        <f>COUNTIF('Passenger Responses'!$R$6:$R$25,1)</f>
        <v>0</v>
      </c>
      <c r="H18" s="17">
        <f>COUNT('Passenger Responses'!$R$6:$R$25)</f>
        <v>20</v>
      </c>
      <c r="I18" s="19">
        <f t="shared" si="2"/>
        <v>4.4000000000000004</v>
      </c>
      <c r="J18" s="17" t="str">
        <f t="shared" si="3"/>
        <v>Strongly Agree</v>
      </c>
    </row>
    <row r="19" spans="1:10" x14ac:dyDescent="0.25">
      <c r="A19" s="17">
        <v>3</v>
      </c>
      <c r="B19" s="18" t="s">
        <v>57</v>
      </c>
      <c r="C19" s="17">
        <f>COUNTIF('Passenger Responses'!$S$6:$S$25,5)</f>
        <v>8</v>
      </c>
      <c r="D19" s="17">
        <f>COUNTIF('Passenger Responses'!$S$6:$S$25,4)</f>
        <v>12</v>
      </c>
      <c r="E19" s="17">
        <f>COUNTIF('Passenger Responses'!$S$6:$S$25,3)</f>
        <v>0</v>
      </c>
      <c r="F19" s="17">
        <f>COUNTIF('Passenger Responses'!$S$6:$S$25,2)</f>
        <v>0</v>
      </c>
      <c r="G19" s="17">
        <f>COUNTIF('Passenger Responses'!$S$6:$S$25,1)</f>
        <v>0</v>
      </c>
      <c r="H19" s="17">
        <f>COUNT('Passenger Responses'!$S$6:$S$25)</f>
        <v>20</v>
      </c>
      <c r="I19" s="19">
        <f t="shared" si="2"/>
        <v>4.4000000000000004</v>
      </c>
      <c r="J19" s="17" t="str">
        <f t="shared" si="3"/>
        <v>Strongly Agree</v>
      </c>
    </row>
    <row r="20" spans="1:10" x14ac:dyDescent="0.25">
      <c r="A20" s="17">
        <v>4</v>
      </c>
      <c r="B20" s="18" t="s">
        <v>58</v>
      </c>
      <c r="C20" s="17">
        <f>COUNTIF('Passenger Responses'!$T$6:$T$25,5)</f>
        <v>7</v>
      </c>
      <c r="D20" s="17">
        <f>COUNTIF('Passenger Responses'!$T$6:$T$25,4)</f>
        <v>12</v>
      </c>
      <c r="E20" s="17">
        <f>COUNTIF('Passenger Responses'!$T$6:$T$25,3)</f>
        <v>1</v>
      </c>
      <c r="F20" s="17">
        <f>COUNTIF('Passenger Responses'!$T$6:$T$25,2)</f>
        <v>0</v>
      </c>
      <c r="G20" s="17">
        <f>COUNTIF('Passenger Responses'!$T$6:$T$25,1)</f>
        <v>0</v>
      </c>
      <c r="H20" s="17">
        <f>COUNT('Passenger Responses'!$T$6:$T$25)</f>
        <v>20</v>
      </c>
      <c r="I20" s="19">
        <f t="shared" si="2"/>
        <v>4.3</v>
      </c>
      <c r="J20" s="17" t="str">
        <f t="shared" si="3"/>
        <v>Strongly Agree</v>
      </c>
    </row>
    <row r="21" spans="1:10" x14ac:dyDescent="0.25">
      <c r="A21" s="17">
        <v>5</v>
      </c>
      <c r="B21" s="18" t="s">
        <v>59</v>
      </c>
      <c r="C21" s="17">
        <f>COUNTIF('Passenger Responses'!$U$6:$U$25,5)</f>
        <v>9</v>
      </c>
      <c r="D21" s="17">
        <f>COUNTIF('Passenger Responses'!$U$6:$U$25,4)</f>
        <v>11</v>
      </c>
      <c r="E21" s="17">
        <f>COUNTIF('Passenger Responses'!$U$6:$U$25,3)</f>
        <v>0</v>
      </c>
      <c r="F21" s="17">
        <f>COUNTIF('Passenger Responses'!$U$6:$U$25,2)</f>
        <v>0</v>
      </c>
      <c r="G21" s="17">
        <f>COUNTIF('Passenger Responses'!$U$6:$U$25,1)</f>
        <v>0</v>
      </c>
      <c r="H21" s="17">
        <f>COUNT('Passenger Responses'!$U$6:$U$25)</f>
        <v>20</v>
      </c>
      <c r="I21" s="19">
        <f t="shared" si="2"/>
        <v>4.45</v>
      </c>
      <c r="J21" s="17" t="str">
        <f t="shared" si="3"/>
        <v>Strongly Agree</v>
      </c>
    </row>
    <row r="22" spans="1:10" x14ac:dyDescent="0.25">
      <c r="A22" s="17">
        <v>6</v>
      </c>
      <c r="B22" s="18" t="s">
        <v>55</v>
      </c>
      <c r="C22" s="17">
        <f>COUNTIF('Passenger Responses'!$V$6:$V$25,5)</f>
        <v>7</v>
      </c>
      <c r="D22" s="17">
        <f>COUNTIF('Passenger Responses'!$V$6:$V$25,4)</f>
        <v>13</v>
      </c>
      <c r="E22" s="17">
        <f>COUNTIF('Passenger Responses'!$V$6:$V$25,3)</f>
        <v>0</v>
      </c>
      <c r="F22" s="17">
        <f>COUNTIF('Passenger Responses'!$V$6:$V$25,2)</f>
        <v>0</v>
      </c>
      <c r="G22" s="17">
        <f>COUNTIF('Passenger Responses'!$V$6:$V$25,1)</f>
        <v>0</v>
      </c>
      <c r="H22" s="17">
        <f>COUNT('Passenger Responses'!$V$6:$V$25)</f>
        <v>20</v>
      </c>
      <c r="I22" s="19">
        <f t="shared" si="2"/>
        <v>4.3499999999999996</v>
      </c>
      <c r="J22" s="17" t="str">
        <f t="shared" si="3"/>
        <v>Strongly Agree</v>
      </c>
    </row>
    <row r="23" spans="1:10" x14ac:dyDescent="0.25">
      <c r="A23" s="20"/>
      <c r="B23" s="21" t="s">
        <v>179</v>
      </c>
      <c r="C23" s="22"/>
      <c r="D23" s="22"/>
      <c r="E23" s="22"/>
      <c r="F23" s="22"/>
      <c r="G23" s="22"/>
      <c r="H23" s="22"/>
      <c r="I23" s="23">
        <f>IFERROR(AVERAGE(I17:I22),"")</f>
        <v>4.375</v>
      </c>
      <c r="J23" s="24" t="str">
        <f t="shared" si="3"/>
        <v>Strongly Agree</v>
      </c>
    </row>
    <row r="25" spans="1:10" x14ac:dyDescent="0.25">
      <c r="A25" s="33" t="s">
        <v>180</v>
      </c>
      <c r="B25" s="34"/>
      <c r="C25" s="34"/>
      <c r="D25" s="34"/>
      <c r="E25" s="34"/>
      <c r="F25" s="34"/>
      <c r="G25" s="34"/>
      <c r="H25" s="34"/>
      <c r="I25" s="34"/>
      <c r="J25" s="35"/>
    </row>
    <row r="26" spans="1:10" x14ac:dyDescent="0.25">
      <c r="A26" s="17">
        <v>1</v>
      </c>
      <c r="B26" s="18" t="s">
        <v>60</v>
      </c>
      <c r="C26" s="17">
        <f>COUNTIF('Passenger Responses'!$W$6:$W$25,5)</f>
        <v>6</v>
      </c>
      <c r="D26" s="17">
        <f>COUNTIF('Passenger Responses'!$W$6:$W$25,4)</f>
        <v>14</v>
      </c>
      <c r="E26" s="17">
        <f>COUNTIF('Passenger Responses'!$W$6:$W$25,3)</f>
        <v>0</v>
      </c>
      <c r="F26" s="17">
        <f>COUNTIF('Passenger Responses'!$W$6:$W$25,2)</f>
        <v>0</v>
      </c>
      <c r="G26" s="17">
        <f>COUNTIF('Passenger Responses'!$W$6:$W$25,1)</f>
        <v>0</v>
      </c>
      <c r="H26" s="17">
        <f>COUNT('Passenger Responses'!$W$6:$W$25)</f>
        <v>20</v>
      </c>
      <c r="I26" s="19">
        <f>IF(H26=0,"",(C26*5+D26*4+E26*3+F26*2+G26*1)/H26)</f>
        <v>4.3</v>
      </c>
      <c r="J26" s="17" t="str">
        <f t="shared" ref="J26:J31" si="4">IF(I26="","",IF(I26&gt;=4.21,"Strongly Agree",IF(I26&gt;=3.41,"Agree",IF(I26&gt;=2.61,"Neutral",IF(I26&gt;=1.81,"Disagree","Strongly Disagree")))))</f>
        <v>Strongly Agree</v>
      </c>
    </row>
    <row r="27" spans="1:10" x14ac:dyDescent="0.25">
      <c r="A27" s="17">
        <v>2</v>
      </c>
      <c r="B27" s="18" t="s">
        <v>61</v>
      </c>
      <c r="C27" s="17">
        <f>COUNTIF('Passenger Responses'!$X$6:$X$25,5)</f>
        <v>4</v>
      </c>
      <c r="D27" s="17">
        <f>COUNTIF('Passenger Responses'!$X$6:$X$25,4)</f>
        <v>16</v>
      </c>
      <c r="E27" s="17">
        <f>COUNTIF('Passenger Responses'!$X$6:$X$25,3)</f>
        <v>0</v>
      </c>
      <c r="F27" s="17">
        <f>COUNTIF('Passenger Responses'!$X$6:$X$25,2)</f>
        <v>0</v>
      </c>
      <c r="G27" s="17">
        <f>COUNTIF('Passenger Responses'!$X$6:$X$25,1)</f>
        <v>0</v>
      </c>
      <c r="H27" s="17">
        <f>COUNT('Passenger Responses'!$X$6:$X$25)</f>
        <v>20</v>
      </c>
      <c r="I27" s="19">
        <f>IF(H27=0,"",(C27*5+D27*4+E27*3+F27*2+G27*1)/H27)</f>
        <v>4.2</v>
      </c>
      <c r="J27" s="17" t="str">
        <f t="shared" si="4"/>
        <v>Agree</v>
      </c>
    </row>
    <row r="28" spans="1:10" x14ac:dyDescent="0.25">
      <c r="A28" s="17">
        <v>3</v>
      </c>
      <c r="B28" s="18" t="s">
        <v>62</v>
      </c>
      <c r="C28" s="17">
        <f>COUNTIF('Passenger Responses'!$Y$6:$Y$25,5)</f>
        <v>3</v>
      </c>
      <c r="D28" s="17">
        <f>COUNTIF('Passenger Responses'!$Y$6:$Y$25,4)</f>
        <v>15</v>
      </c>
      <c r="E28" s="17">
        <f>COUNTIF('Passenger Responses'!$Y$6:$Y$25,3)</f>
        <v>2</v>
      </c>
      <c r="F28" s="17">
        <f>COUNTIF('Passenger Responses'!$Y$6:$Y$25,2)</f>
        <v>0</v>
      </c>
      <c r="G28" s="17">
        <f>COUNTIF('Passenger Responses'!$Y$6:$Y$25,1)</f>
        <v>0</v>
      </c>
      <c r="H28" s="17">
        <f>COUNT('Passenger Responses'!$Y$6:$Y$25)</f>
        <v>20</v>
      </c>
      <c r="I28" s="19">
        <f>IF(H28=0,"",(C28*5+D28*4+E28*3+F28*2+G28*1)/H28)</f>
        <v>4.05</v>
      </c>
      <c r="J28" s="17" t="str">
        <f t="shared" si="4"/>
        <v>Agree</v>
      </c>
    </row>
    <row r="29" spans="1:10" x14ac:dyDescent="0.25">
      <c r="A29" s="17">
        <v>4</v>
      </c>
      <c r="B29" s="18" t="s">
        <v>63</v>
      </c>
      <c r="C29" s="17">
        <f>COUNTIF('Passenger Responses'!$Z$6:$Z$25,5)</f>
        <v>7</v>
      </c>
      <c r="D29" s="17">
        <f>COUNTIF('Passenger Responses'!$Z$6:$Z$25,4)</f>
        <v>12</v>
      </c>
      <c r="E29" s="17">
        <f>COUNTIF('Passenger Responses'!$Z$6:$Z$25,3)</f>
        <v>1</v>
      </c>
      <c r="F29" s="17">
        <f>COUNTIF('Passenger Responses'!$Z$6:$Z$25,2)</f>
        <v>0</v>
      </c>
      <c r="G29" s="17">
        <f>COUNTIF('Passenger Responses'!$Z$6:$Z$25,1)</f>
        <v>0</v>
      </c>
      <c r="H29" s="17">
        <f>COUNT('Passenger Responses'!$Z$6:$Z$25)</f>
        <v>20</v>
      </c>
      <c r="I29" s="19">
        <f>IF(H29=0,"",(C29*5+D29*4+E29*3+F29*2+G29*1)/H29)</f>
        <v>4.3</v>
      </c>
      <c r="J29" s="17" t="str">
        <f t="shared" si="4"/>
        <v>Strongly Agree</v>
      </c>
    </row>
    <row r="30" spans="1:10" x14ac:dyDescent="0.25">
      <c r="A30" s="17">
        <v>5</v>
      </c>
      <c r="B30" s="18" t="s">
        <v>64</v>
      </c>
      <c r="C30" s="17">
        <f>COUNTIF('Passenger Responses'!$AA$6:$AA$25,5)</f>
        <v>8</v>
      </c>
      <c r="D30" s="17">
        <f>COUNTIF('Passenger Responses'!$AA$6:$AA$25,4)</f>
        <v>12</v>
      </c>
      <c r="E30" s="17">
        <f>COUNTIF('Passenger Responses'!$AA$6:$AA$25,3)</f>
        <v>0</v>
      </c>
      <c r="F30" s="17">
        <f>COUNTIF('Passenger Responses'!$AA$6:$AA$25,2)</f>
        <v>0</v>
      </c>
      <c r="G30" s="17">
        <f>COUNTIF('Passenger Responses'!$AA$6:$AA$25,1)</f>
        <v>0</v>
      </c>
      <c r="H30" s="17">
        <f>COUNT('Passenger Responses'!$AA$6:$AA$25)</f>
        <v>20</v>
      </c>
      <c r="I30" s="19">
        <f>IF(H30=0,"",(C30*5+D30*4+E30*3+F30*2+G30*1)/H30)</f>
        <v>4.4000000000000004</v>
      </c>
      <c r="J30" s="17" t="str">
        <f t="shared" si="4"/>
        <v>Strongly Agree</v>
      </c>
    </row>
    <row r="31" spans="1:10" x14ac:dyDescent="0.25">
      <c r="A31" s="20"/>
      <c r="B31" s="21" t="s">
        <v>181</v>
      </c>
      <c r="C31" s="22"/>
      <c r="D31" s="22"/>
      <c r="E31" s="22"/>
      <c r="F31" s="22"/>
      <c r="G31" s="22"/>
      <c r="H31" s="22"/>
      <c r="I31" s="23">
        <f>IFERROR(AVERAGE(I26:I30),"")</f>
        <v>4.25</v>
      </c>
      <c r="J31" s="24" t="str">
        <f t="shared" si="4"/>
        <v>Strongly Agree</v>
      </c>
    </row>
    <row r="33" spans="1:10" x14ac:dyDescent="0.25">
      <c r="A33" s="33" t="s">
        <v>182</v>
      </c>
      <c r="B33" s="34"/>
      <c r="C33" s="34"/>
      <c r="D33" s="34"/>
      <c r="E33" s="34"/>
      <c r="F33" s="34"/>
      <c r="G33" s="34"/>
      <c r="H33" s="34"/>
      <c r="I33" s="34"/>
      <c r="J33" s="35"/>
    </row>
    <row r="34" spans="1:10" x14ac:dyDescent="0.25">
      <c r="A34" s="17">
        <v>1</v>
      </c>
      <c r="B34" s="18" t="s">
        <v>65</v>
      </c>
      <c r="C34" s="17">
        <f>COUNTIF('Passenger Responses'!$AB$6:$AB$25,5)</f>
        <v>8</v>
      </c>
      <c r="D34" s="17">
        <f>COUNTIF('Passenger Responses'!$AB$6:$AB$25,4)</f>
        <v>12</v>
      </c>
      <c r="E34" s="17">
        <f>COUNTIF('Passenger Responses'!$AB$6:$AB$25,3)</f>
        <v>0</v>
      </c>
      <c r="F34" s="17">
        <f>COUNTIF('Passenger Responses'!$AB$6:$AB$25,2)</f>
        <v>0</v>
      </c>
      <c r="G34" s="17">
        <f>COUNTIF('Passenger Responses'!$AB$6:$AB$25,1)</f>
        <v>0</v>
      </c>
      <c r="H34" s="17">
        <f>COUNT('Passenger Responses'!$AB$6:$AB$25)</f>
        <v>20</v>
      </c>
      <c r="I34" s="19">
        <f>IF(H34=0,"",(C34*5+D34*4+E34*3+F34*2+G34*1)/H34)</f>
        <v>4.4000000000000004</v>
      </c>
      <c r="J34" s="17" t="str">
        <f t="shared" ref="J34:J39" si="5">IF(I34="","",IF(I34&gt;=4.21,"Strongly Agree",IF(I34&gt;=3.41,"Agree",IF(I34&gt;=2.61,"Neutral",IF(I34&gt;=1.81,"Disagree","Strongly Disagree")))))</f>
        <v>Strongly Agree</v>
      </c>
    </row>
    <row r="35" spans="1:10" ht="25.5" x14ac:dyDescent="0.25">
      <c r="A35" s="17">
        <v>2</v>
      </c>
      <c r="B35" s="18" t="s">
        <v>66</v>
      </c>
      <c r="C35" s="17">
        <f>COUNTIF('Passenger Responses'!$AC$6:$AC$25,5)</f>
        <v>4</v>
      </c>
      <c r="D35" s="17">
        <f>COUNTIF('Passenger Responses'!$AC$6:$AC$25,4)</f>
        <v>16</v>
      </c>
      <c r="E35" s="17">
        <f>COUNTIF('Passenger Responses'!$AC$6:$AC$25,3)</f>
        <v>0</v>
      </c>
      <c r="F35" s="17">
        <f>COUNTIF('Passenger Responses'!$AC$6:$AC$25,2)</f>
        <v>0</v>
      </c>
      <c r="G35" s="17">
        <f>COUNTIF('Passenger Responses'!$AC$6:$AC$25,1)</f>
        <v>0</v>
      </c>
      <c r="H35" s="17">
        <f>COUNT('Passenger Responses'!$AC$6:$AC$25)</f>
        <v>20</v>
      </c>
      <c r="I35" s="19">
        <f>IF(H35=0,"",(C35*5+D35*4+E35*3+F35*2+G35*1)/H35)</f>
        <v>4.2</v>
      </c>
      <c r="J35" s="17" t="str">
        <f t="shared" si="5"/>
        <v>Agree</v>
      </c>
    </row>
    <row r="36" spans="1:10" x14ac:dyDescent="0.25">
      <c r="A36" s="17">
        <v>3</v>
      </c>
      <c r="B36" s="18" t="s">
        <v>67</v>
      </c>
      <c r="C36" s="17">
        <f>COUNTIF('Passenger Responses'!$AD$6:$AD$25,5)</f>
        <v>5</v>
      </c>
      <c r="D36" s="17">
        <f>COUNTIF('Passenger Responses'!$AD$6:$AD$25,4)</f>
        <v>15</v>
      </c>
      <c r="E36" s="17">
        <f>COUNTIF('Passenger Responses'!$AD$6:$AD$25,3)</f>
        <v>0</v>
      </c>
      <c r="F36" s="17">
        <f>COUNTIF('Passenger Responses'!$AD$6:$AD$25,2)</f>
        <v>0</v>
      </c>
      <c r="G36" s="17">
        <f>COUNTIF('Passenger Responses'!$AD$6:$AD$25,1)</f>
        <v>0</v>
      </c>
      <c r="H36" s="17">
        <f>COUNT('Passenger Responses'!$AD$6:$AD$25)</f>
        <v>20</v>
      </c>
      <c r="I36" s="19">
        <f>IF(H36=0,"",(C36*5+D36*4+E36*3+F36*2+G36*1)/H36)</f>
        <v>4.25</v>
      </c>
      <c r="J36" s="17" t="str">
        <f t="shared" si="5"/>
        <v>Strongly Agree</v>
      </c>
    </row>
    <row r="37" spans="1:10" x14ac:dyDescent="0.25">
      <c r="A37" s="17">
        <v>4</v>
      </c>
      <c r="B37" s="18" t="s">
        <v>68</v>
      </c>
      <c r="C37" s="17">
        <f>COUNTIF('Passenger Responses'!$AE$6:$AE$25,5)</f>
        <v>3</v>
      </c>
      <c r="D37" s="17">
        <f>COUNTIF('Passenger Responses'!$AE$6:$AE$25,4)</f>
        <v>17</v>
      </c>
      <c r="E37" s="17">
        <f>COUNTIF('Passenger Responses'!$AE$6:$AE$25,3)</f>
        <v>0</v>
      </c>
      <c r="F37" s="17">
        <f>COUNTIF('Passenger Responses'!$AE$6:$AE$25,2)</f>
        <v>0</v>
      </c>
      <c r="G37" s="17">
        <f>COUNTIF('Passenger Responses'!$AE$6:$AE$25,1)</f>
        <v>0</v>
      </c>
      <c r="H37" s="17">
        <f>COUNT('Passenger Responses'!$AE$6:$AE$25)</f>
        <v>20</v>
      </c>
      <c r="I37" s="19">
        <f>IF(H37=0,"",(C37*5+D37*4+E37*3+F37*2+G37*1)/H37)</f>
        <v>4.1500000000000004</v>
      </c>
      <c r="J37" s="17" t="str">
        <f t="shared" si="5"/>
        <v>Agree</v>
      </c>
    </row>
    <row r="38" spans="1:10" ht="25.5" x14ac:dyDescent="0.25">
      <c r="A38" s="17">
        <v>5</v>
      </c>
      <c r="B38" s="18" t="s">
        <v>69</v>
      </c>
      <c r="C38" s="17">
        <f>COUNTIF('Passenger Responses'!$AF$6:$AF$25,5)</f>
        <v>6</v>
      </c>
      <c r="D38" s="17">
        <f>COUNTIF('Passenger Responses'!$AF$6:$AF$25,4)</f>
        <v>14</v>
      </c>
      <c r="E38" s="17">
        <f>COUNTIF('Passenger Responses'!$AF$6:$AF$25,3)</f>
        <v>0</v>
      </c>
      <c r="F38" s="17">
        <f>COUNTIF('Passenger Responses'!$AF$6:$AF$25,2)</f>
        <v>0</v>
      </c>
      <c r="G38" s="17">
        <f>COUNTIF('Passenger Responses'!$AF$6:$AF$25,1)</f>
        <v>0</v>
      </c>
      <c r="H38" s="17">
        <f>COUNT('Passenger Responses'!$AF$6:$AF$25)</f>
        <v>20</v>
      </c>
      <c r="I38" s="19">
        <f>IF(H38=0,"",(C38*5+D38*4+E38*3+F38*2+G38*1)/H38)</f>
        <v>4.3</v>
      </c>
      <c r="J38" s="17" t="str">
        <f t="shared" si="5"/>
        <v>Strongly Agree</v>
      </c>
    </row>
    <row r="39" spans="1:10" x14ac:dyDescent="0.25">
      <c r="A39" s="20"/>
      <c r="B39" s="21" t="s">
        <v>183</v>
      </c>
      <c r="C39" s="22"/>
      <c r="D39" s="22"/>
      <c r="E39" s="22"/>
      <c r="F39" s="22"/>
      <c r="G39" s="22"/>
      <c r="H39" s="22"/>
      <c r="I39" s="23">
        <f>IFERROR(AVERAGE(I34:I38),"")</f>
        <v>4.26</v>
      </c>
      <c r="J39" s="24" t="str">
        <f t="shared" si="5"/>
        <v>Strongly Agree</v>
      </c>
    </row>
    <row r="41" spans="1:10" x14ac:dyDescent="0.25">
      <c r="A41" s="33" t="s">
        <v>184</v>
      </c>
      <c r="B41" s="34"/>
      <c r="C41" s="34"/>
      <c r="D41" s="34"/>
      <c r="E41" s="34"/>
      <c r="F41" s="34"/>
      <c r="G41" s="34"/>
      <c r="H41" s="34"/>
      <c r="I41" s="34"/>
      <c r="J41" s="35"/>
    </row>
    <row r="42" spans="1:10" x14ac:dyDescent="0.25">
      <c r="A42" s="17">
        <v>1</v>
      </c>
      <c r="B42" s="18" t="s">
        <v>70</v>
      </c>
      <c r="C42" s="17">
        <f>COUNTIF('Passenger Responses'!$AG$6:$AG$25,5)</f>
        <v>7</v>
      </c>
      <c r="D42" s="17">
        <f>COUNTIF('Passenger Responses'!$AG$6:$AG$25,4)</f>
        <v>13</v>
      </c>
      <c r="E42" s="17">
        <f>COUNTIF('Passenger Responses'!$AG$6:$AG$25,3)</f>
        <v>0</v>
      </c>
      <c r="F42" s="17">
        <f>COUNTIF('Passenger Responses'!$AG$6:$AG$25,2)</f>
        <v>0</v>
      </c>
      <c r="G42" s="17">
        <f>COUNTIF('Passenger Responses'!$AG$6:$AG$25,1)</f>
        <v>0</v>
      </c>
      <c r="H42" s="17">
        <f>COUNT('Passenger Responses'!$AG$6:$AG$25)</f>
        <v>20</v>
      </c>
      <c r="I42" s="19">
        <f>IF(H42=0,"",(C42*5+D42*4+E42*3+F42*2+G42*1)/H42)</f>
        <v>4.3499999999999996</v>
      </c>
      <c r="J42" s="17" t="str">
        <f t="shared" ref="J42:J47" si="6">IF(I42="","",IF(I42&gt;=4.21,"Strongly Agree",IF(I42&gt;=3.41,"Agree",IF(I42&gt;=2.61,"Neutral",IF(I42&gt;=1.81,"Disagree","Strongly Disagree")))))</f>
        <v>Strongly Agree</v>
      </c>
    </row>
    <row r="43" spans="1:10" x14ac:dyDescent="0.25">
      <c r="A43" s="17">
        <v>2</v>
      </c>
      <c r="B43" s="18" t="s">
        <v>71</v>
      </c>
      <c r="C43" s="17">
        <f>COUNTIF('Passenger Responses'!$AH$6:$AH$25,5)</f>
        <v>8</v>
      </c>
      <c r="D43" s="17">
        <f>COUNTIF('Passenger Responses'!$AH$6:$AH$25,4)</f>
        <v>12</v>
      </c>
      <c r="E43" s="17">
        <f>COUNTIF('Passenger Responses'!$AH$6:$AH$25,3)</f>
        <v>0</v>
      </c>
      <c r="F43" s="17">
        <f>COUNTIF('Passenger Responses'!$AH$6:$AH$25,2)</f>
        <v>0</v>
      </c>
      <c r="G43" s="17">
        <f>COUNTIF('Passenger Responses'!$AH$6:$AH$25,1)</f>
        <v>0</v>
      </c>
      <c r="H43" s="17">
        <f>COUNT('Passenger Responses'!$AH$6:$AH$25)</f>
        <v>20</v>
      </c>
      <c r="I43" s="19">
        <f>IF(H43=0,"",(C43*5+D43*4+E43*3+F43*2+G43*1)/H43)</f>
        <v>4.4000000000000004</v>
      </c>
      <c r="J43" s="17" t="str">
        <f t="shared" si="6"/>
        <v>Strongly Agree</v>
      </c>
    </row>
    <row r="44" spans="1:10" x14ac:dyDescent="0.25">
      <c r="A44" s="17">
        <v>3</v>
      </c>
      <c r="B44" s="18" t="s">
        <v>72</v>
      </c>
      <c r="C44" s="17">
        <f>COUNTIF('Passenger Responses'!$AI$6:$AI$25,5)</f>
        <v>6</v>
      </c>
      <c r="D44" s="17">
        <f>COUNTIF('Passenger Responses'!$AI$6:$AI$25,4)</f>
        <v>13</v>
      </c>
      <c r="E44" s="17">
        <f>COUNTIF('Passenger Responses'!$AI$6:$AI$25,3)</f>
        <v>1</v>
      </c>
      <c r="F44" s="17">
        <f>COUNTIF('Passenger Responses'!$AI$6:$AI$25,2)</f>
        <v>0</v>
      </c>
      <c r="G44" s="17">
        <f>COUNTIF('Passenger Responses'!$AI$6:$AI$25,1)</f>
        <v>0</v>
      </c>
      <c r="H44" s="17">
        <f>COUNT('Passenger Responses'!$AI$6:$AI$25)</f>
        <v>20</v>
      </c>
      <c r="I44" s="19">
        <f>IF(H44=0,"",(C44*5+D44*4+E44*3+F44*2+G44*1)/H44)</f>
        <v>4.25</v>
      </c>
      <c r="J44" s="17" t="str">
        <f t="shared" si="6"/>
        <v>Strongly Agree</v>
      </c>
    </row>
    <row r="45" spans="1:10" x14ac:dyDescent="0.25">
      <c r="A45" s="17">
        <v>4</v>
      </c>
      <c r="B45" s="18" t="s">
        <v>73</v>
      </c>
      <c r="C45" s="17">
        <f>COUNTIF('Passenger Responses'!$AJ$6:$AJ$25,5)</f>
        <v>9</v>
      </c>
      <c r="D45" s="17">
        <f>COUNTIF('Passenger Responses'!$AJ$6:$AJ$25,4)</f>
        <v>9</v>
      </c>
      <c r="E45" s="17">
        <f>COUNTIF('Passenger Responses'!$AJ$6:$AJ$25,3)</f>
        <v>2</v>
      </c>
      <c r="F45" s="17">
        <f>COUNTIF('Passenger Responses'!$AJ$6:$AJ$25,2)</f>
        <v>0</v>
      </c>
      <c r="G45" s="17">
        <f>COUNTIF('Passenger Responses'!$AJ$6:$AJ$25,1)</f>
        <v>0</v>
      </c>
      <c r="H45" s="17">
        <f>COUNT('Passenger Responses'!$AJ$6:$AJ$25)</f>
        <v>20</v>
      </c>
      <c r="I45" s="19">
        <f>IF(H45=0,"",(C45*5+D45*4+E45*3+F45*2+G45*1)/H45)</f>
        <v>4.3499999999999996</v>
      </c>
      <c r="J45" s="17" t="str">
        <f t="shared" si="6"/>
        <v>Strongly Agree</v>
      </c>
    </row>
    <row r="46" spans="1:10" x14ac:dyDescent="0.25">
      <c r="A46" s="17">
        <v>5</v>
      </c>
      <c r="B46" s="18" t="s">
        <v>74</v>
      </c>
      <c r="C46" s="17">
        <f>COUNTIF('Passenger Responses'!$AK$6:$AK$25,5)</f>
        <v>7</v>
      </c>
      <c r="D46" s="17">
        <f>COUNTIF('Passenger Responses'!$AK$6:$AK$25,4)</f>
        <v>13</v>
      </c>
      <c r="E46" s="17">
        <f>COUNTIF('Passenger Responses'!$AK$6:$AK$25,3)</f>
        <v>0</v>
      </c>
      <c r="F46" s="17">
        <f>COUNTIF('Passenger Responses'!$AK$6:$AK$25,2)</f>
        <v>0</v>
      </c>
      <c r="G46" s="17">
        <f>COUNTIF('Passenger Responses'!$AK$6:$AK$25,1)</f>
        <v>0</v>
      </c>
      <c r="H46" s="17">
        <f>COUNT('Passenger Responses'!$AK$6:$AK$25)</f>
        <v>20</v>
      </c>
      <c r="I46" s="19">
        <f>IF(H46=0,"",(C46*5+D46*4+E46*3+F46*2+G46*1)/H46)</f>
        <v>4.3499999999999996</v>
      </c>
      <c r="J46" s="17" t="str">
        <f t="shared" si="6"/>
        <v>Strongly Agree</v>
      </c>
    </row>
    <row r="47" spans="1:10" x14ac:dyDescent="0.25">
      <c r="A47" s="20"/>
      <c r="B47" s="21" t="s">
        <v>185</v>
      </c>
      <c r="C47" s="22"/>
      <c r="D47" s="22"/>
      <c r="E47" s="22"/>
      <c r="F47" s="22"/>
      <c r="G47" s="22"/>
      <c r="H47" s="22"/>
      <c r="I47" s="23">
        <f>IFERROR(AVERAGE(I42:I46),"")</f>
        <v>4.3400000000000007</v>
      </c>
      <c r="J47" s="24" t="str">
        <f t="shared" si="6"/>
        <v>Strongly Agree</v>
      </c>
    </row>
    <row r="49" spans="1:10" x14ac:dyDescent="0.25">
      <c r="A49" s="33" t="s">
        <v>186</v>
      </c>
      <c r="B49" s="34"/>
      <c r="C49" s="34"/>
      <c r="D49" s="34"/>
      <c r="E49" s="34"/>
      <c r="F49" s="34"/>
      <c r="G49" s="34"/>
      <c r="H49" s="34"/>
      <c r="I49" s="34"/>
      <c r="J49" s="35"/>
    </row>
    <row r="50" spans="1:10" x14ac:dyDescent="0.25">
      <c r="A50" s="17">
        <v>1</v>
      </c>
      <c r="B50" s="18" t="s">
        <v>75</v>
      </c>
      <c r="C50" s="17">
        <f>COUNTIF('Passenger Responses'!$AL$6:$AL$25,5)</f>
        <v>8</v>
      </c>
      <c r="D50" s="17">
        <f>COUNTIF('Passenger Responses'!$AL$6:$AL$25,4)</f>
        <v>12</v>
      </c>
      <c r="E50" s="17">
        <f>COUNTIF('Passenger Responses'!$AL$6:$AL$25,3)</f>
        <v>0</v>
      </c>
      <c r="F50" s="17">
        <f>COUNTIF('Passenger Responses'!$AL$6:$AL$25,2)</f>
        <v>0</v>
      </c>
      <c r="G50" s="17">
        <f>COUNTIF('Passenger Responses'!$AL$6:$AL$25,1)</f>
        <v>0</v>
      </c>
      <c r="H50" s="17">
        <f>COUNT('Passenger Responses'!$AL$6:$AL$25)</f>
        <v>20</v>
      </c>
      <c r="I50" s="19">
        <f>IF(H50=0,"",(C50*5+D50*4+E50*3+F50*2+G50*1)/H50)</f>
        <v>4.4000000000000004</v>
      </c>
      <c r="J50" s="17" t="str">
        <f t="shared" ref="J50:J55" si="7">IF(I50="","",IF(I50&gt;=4.21,"Strongly Agree",IF(I50&gt;=3.41,"Agree",IF(I50&gt;=2.61,"Neutral",IF(I50&gt;=1.81,"Disagree","Strongly Disagree")))))</f>
        <v>Strongly Agree</v>
      </c>
    </row>
    <row r="51" spans="1:10" x14ac:dyDescent="0.25">
      <c r="A51" s="17">
        <v>2</v>
      </c>
      <c r="B51" s="18" t="s">
        <v>76</v>
      </c>
      <c r="C51" s="17">
        <f>COUNTIF('Passenger Responses'!$AM$6:$AM$25,5)</f>
        <v>6</v>
      </c>
      <c r="D51" s="17">
        <f>COUNTIF('Passenger Responses'!$AM$6:$AM$25,4)</f>
        <v>14</v>
      </c>
      <c r="E51" s="17">
        <f>COUNTIF('Passenger Responses'!$AM$6:$AM$25,3)</f>
        <v>0</v>
      </c>
      <c r="F51" s="17">
        <f>COUNTIF('Passenger Responses'!$AM$6:$AM$25,2)</f>
        <v>0</v>
      </c>
      <c r="G51" s="17">
        <f>COUNTIF('Passenger Responses'!$AM$6:$AM$25,1)</f>
        <v>0</v>
      </c>
      <c r="H51" s="17">
        <f>COUNT('Passenger Responses'!$AM$6:$AM$25)</f>
        <v>20</v>
      </c>
      <c r="I51" s="19">
        <f>IF(H51=0,"",(C51*5+D51*4+E51*3+F51*2+G51*1)/H51)</f>
        <v>4.3</v>
      </c>
      <c r="J51" s="17" t="str">
        <f t="shared" si="7"/>
        <v>Strongly Agree</v>
      </c>
    </row>
    <row r="52" spans="1:10" x14ac:dyDescent="0.25">
      <c r="A52" s="17">
        <v>3</v>
      </c>
      <c r="B52" s="18" t="s">
        <v>77</v>
      </c>
      <c r="C52" s="17">
        <f>COUNTIF('Passenger Responses'!$AN$6:$AN$25,5)</f>
        <v>6</v>
      </c>
      <c r="D52" s="17">
        <f>COUNTIF('Passenger Responses'!$AN$6:$AN$25,4)</f>
        <v>14</v>
      </c>
      <c r="E52" s="17">
        <f>COUNTIF('Passenger Responses'!$AN$6:$AN$25,3)</f>
        <v>0</v>
      </c>
      <c r="F52" s="17">
        <f>COUNTIF('Passenger Responses'!$AN$6:$AN$25,2)</f>
        <v>0</v>
      </c>
      <c r="G52" s="17">
        <f>COUNTIF('Passenger Responses'!$AN$6:$AN$25,1)</f>
        <v>0</v>
      </c>
      <c r="H52" s="17">
        <f>COUNT('Passenger Responses'!$AN$6:$AN$25)</f>
        <v>20</v>
      </c>
      <c r="I52" s="19">
        <f>IF(H52=0,"",(C52*5+D52*4+E52*3+F52*2+G52*1)/H52)</f>
        <v>4.3</v>
      </c>
      <c r="J52" s="17" t="str">
        <f t="shared" si="7"/>
        <v>Strongly Agree</v>
      </c>
    </row>
    <row r="53" spans="1:10" x14ac:dyDescent="0.25">
      <c r="A53" s="17">
        <v>4</v>
      </c>
      <c r="B53" s="18" t="s">
        <v>78</v>
      </c>
      <c r="C53" s="17">
        <f>COUNTIF('Passenger Responses'!$AO$6:$AO$25,5)</f>
        <v>9</v>
      </c>
      <c r="D53" s="17">
        <f>COUNTIF('Passenger Responses'!$AO$6:$AO$25,4)</f>
        <v>11</v>
      </c>
      <c r="E53" s="17">
        <f>COUNTIF('Passenger Responses'!$AO$6:$AO$25,3)</f>
        <v>0</v>
      </c>
      <c r="F53" s="17">
        <f>COUNTIF('Passenger Responses'!$AO$6:$AO$25,2)</f>
        <v>0</v>
      </c>
      <c r="G53" s="17">
        <f>COUNTIF('Passenger Responses'!$AO$6:$AO$25,1)</f>
        <v>0</v>
      </c>
      <c r="H53" s="17">
        <f>COUNT('Passenger Responses'!$AO$6:$AO$25)</f>
        <v>20</v>
      </c>
      <c r="I53" s="19">
        <f>IF(H53=0,"",(C53*5+D53*4+E53*3+F53*2+G53*1)/H53)</f>
        <v>4.45</v>
      </c>
      <c r="J53" s="17" t="str">
        <f t="shared" si="7"/>
        <v>Strongly Agree</v>
      </c>
    </row>
    <row r="54" spans="1:10" x14ac:dyDescent="0.25">
      <c r="A54" s="17">
        <v>5</v>
      </c>
      <c r="B54" s="18" t="s">
        <v>79</v>
      </c>
      <c r="C54" s="17">
        <f>COUNTIF('Passenger Responses'!$AP$6:$AP$25,5)</f>
        <v>6</v>
      </c>
      <c r="D54" s="17">
        <f>COUNTIF('Passenger Responses'!$AP$6:$AP$25,4)</f>
        <v>14</v>
      </c>
      <c r="E54" s="17">
        <f>COUNTIF('Passenger Responses'!$AP$6:$AP$25,3)</f>
        <v>0</v>
      </c>
      <c r="F54" s="17">
        <f>COUNTIF('Passenger Responses'!$AP$6:$AP$25,2)</f>
        <v>0</v>
      </c>
      <c r="G54" s="17">
        <f>COUNTIF('Passenger Responses'!$AP$6:$AP$25,1)</f>
        <v>0</v>
      </c>
      <c r="H54" s="17">
        <f>COUNT('Passenger Responses'!$AP$6:$AP$25)</f>
        <v>20</v>
      </c>
      <c r="I54" s="19">
        <f>IF(H54=0,"",(C54*5+D54*4+E54*3+F54*2+G54*1)/H54)</f>
        <v>4.3</v>
      </c>
      <c r="J54" s="17" t="str">
        <f t="shared" si="7"/>
        <v>Strongly Agree</v>
      </c>
    </row>
    <row r="55" spans="1:10" x14ac:dyDescent="0.25">
      <c r="A55" s="20"/>
      <c r="B55" s="21" t="s">
        <v>187</v>
      </c>
      <c r="C55" s="22"/>
      <c r="D55" s="22"/>
      <c r="E55" s="22"/>
      <c r="F55" s="22"/>
      <c r="G55" s="22"/>
      <c r="H55" s="22"/>
      <c r="I55" s="23">
        <f>IFERROR(AVERAGE(I50:I54),"")</f>
        <v>4.3499999999999996</v>
      </c>
      <c r="J55" s="24" t="str">
        <f t="shared" si="7"/>
        <v>Strongly Agree</v>
      </c>
    </row>
    <row r="57" spans="1:10" x14ac:dyDescent="0.25">
      <c r="A57" s="25"/>
      <c r="B57" s="26" t="s">
        <v>188</v>
      </c>
      <c r="C57" s="27"/>
      <c r="D57" s="27"/>
      <c r="E57" s="27"/>
      <c r="F57" s="27"/>
      <c r="G57" s="27"/>
      <c r="H57" s="27"/>
      <c r="I57" s="28">
        <f>IFERROR(AVERAGE(I14,I23,I31,I39,I47,I55),"")</f>
        <v>4.3</v>
      </c>
      <c r="J57" s="29" t="str">
        <f>IF(I57="","",IF(I57&gt;=4.21,"Strongly Agree",IF(I57&gt;=3.41,"Agree",IF(I57&gt;=2.61,"Neutral",IF(I57&gt;=1.81,"Disagree","Strongly Disagree")))))</f>
        <v>Strongly Agree</v>
      </c>
    </row>
    <row r="59" spans="1:10" ht="27.95" customHeight="1" x14ac:dyDescent="0.25">
      <c r="B59" s="36" t="s">
        <v>189</v>
      </c>
      <c r="C59" s="31"/>
      <c r="D59" s="31"/>
      <c r="E59" s="31"/>
      <c r="F59" s="31"/>
      <c r="G59" s="31"/>
      <c r="H59" s="31"/>
      <c r="I59" s="31"/>
      <c r="J59" s="31"/>
    </row>
  </sheetData>
  <mergeCells count="7">
    <mergeCell ref="A5:J5"/>
    <mergeCell ref="B59:J59"/>
    <mergeCell ref="A16:J16"/>
    <mergeCell ref="A25:J25"/>
    <mergeCell ref="A41:J41"/>
    <mergeCell ref="A33:J33"/>
    <mergeCell ref="A49:J4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showGridLines="0" workbookViewId="0">
      <pane ySplit="4" topLeftCell="A5" activePane="bottomLeft" state="frozen"/>
      <selection pane="bottomLeft"/>
    </sheetView>
  </sheetViews>
  <sheetFormatPr defaultRowHeight="15" x14ac:dyDescent="0.25"/>
  <cols>
    <col min="1" max="1" width="4" customWidth="1"/>
    <col min="2" max="2" width="58" customWidth="1"/>
    <col min="3" max="7" width="7" customWidth="1"/>
    <col min="8" max="8" width="8" customWidth="1"/>
    <col min="9" max="9" width="15" customWidth="1"/>
    <col min="10" max="10" width="20" customWidth="1"/>
  </cols>
  <sheetData>
    <row r="1" spans="1:10" ht="18" x14ac:dyDescent="0.25">
      <c r="A1" s="8" t="s">
        <v>37</v>
      </c>
    </row>
    <row r="2" spans="1:10" x14ac:dyDescent="0.25">
      <c r="A2" s="9" t="s">
        <v>190</v>
      </c>
    </row>
    <row r="4" spans="1:10" ht="26.1" customHeight="1" x14ac:dyDescent="0.25">
      <c r="A4" s="16" t="s">
        <v>167</v>
      </c>
      <c r="B4" s="16" t="s">
        <v>168</v>
      </c>
      <c r="C4" s="16" t="s">
        <v>169</v>
      </c>
      <c r="D4" s="16" t="s">
        <v>170</v>
      </c>
      <c r="E4" s="16" t="s">
        <v>171</v>
      </c>
      <c r="F4" s="16" t="s">
        <v>172</v>
      </c>
      <c r="G4" s="16" t="s">
        <v>173</v>
      </c>
      <c r="H4" s="16" t="s">
        <v>174</v>
      </c>
      <c r="I4" s="16" t="s">
        <v>16</v>
      </c>
      <c r="J4" s="16" t="s">
        <v>175</v>
      </c>
    </row>
    <row r="5" spans="1:10" x14ac:dyDescent="0.25">
      <c r="A5" s="33" t="s">
        <v>191</v>
      </c>
      <c r="B5" s="34"/>
      <c r="C5" s="34"/>
      <c r="D5" s="34"/>
      <c r="E5" s="34"/>
      <c r="F5" s="34"/>
      <c r="G5" s="34"/>
      <c r="H5" s="34"/>
      <c r="I5" s="34"/>
      <c r="J5" s="35"/>
    </row>
    <row r="6" spans="1:10" x14ac:dyDescent="0.25">
      <c r="A6" s="17">
        <v>1</v>
      </c>
      <c r="B6" s="18" t="s">
        <v>130</v>
      </c>
      <c r="C6" s="17">
        <f>COUNTIF('Driver Responses'!$I$6:$I$25,5)</f>
        <v>8</v>
      </c>
      <c r="D6" s="17">
        <f>COUNTIF('Driver Responses'!$I$6:$I$25,4)</f>
        <v>11</v>
      </c>
      <c r="E6" s="17">
        <f>COUNTIF('Driver Responses'!$I$6:$I$25,3)</f>
        <v>1</v>
      </c>
      <c r="F6" s="17">
        <f>COUNTIF('Driver Responses'!$I$6:$I$25,2)</f>
        <v>0</v>
      </c>
      <c r="G6" s="17">
        <f>COUNTIF('Driver Responses'!$I$6:$I$25,1)</f>
        <v>0</v>
      </c>
      <c r="H6" s="17">
        <f>COUNT('Driver Responses'!$I$6:$I$25)</f>
        <v>20</v>
      </c>
      <c r="I6" s="19">
        <f>IF(H6=0,"",(C6*5+D6*4+E6*3+F6*2+G6*1)/H6)</f>
        <v>4.3499999999999996</v>
      </c>
      <c r="J6" s="17" t="str">
        <f t="shared" ref="J6:J11" si="0">IF(I6="","",IF(I6&gt;=4.21,"Strongly Agree",IF(I6&gt;=3.41,"Agree",IF(I6&gt;=2.61,"Neutral",IF(I6&gt;=1.81,"Disagree","Strongly Disagree")))))</f>
        <v>Strongly Agree</v>
      </c>
    </row>
    <row r="7" spans="1:10" x14ac:dyDescent="0.25">
      <c r="A7" s="17">
        <v>2</v>
      </c>
      <c r="B7" s="18" t="s">
        <v>131</v>
      </c>
      <c r="C7" s="17">
        <f>COUNTIF('Driver Responses'!$J$6:$J$25,5)</f>
        <v>3</v>
      </c>
      <c r="D7" s="17">
        <f>COUNTIF('Driver Responses'!$J$6:$J$25,4)</f>
        <v>16</v>
      </c>
      <c r="E7" s="17">
        <f>COUNTIF('Driver Responses'!$J$6:$J$25,3)</f>
        <v>1</v>
      </c>
      <c r="F7" s="17">
        <f>COUNTIF('Driver Responses'!$J$6:$J$25,2)</f>
        <v>0</v>
      </c>
      <c r="G7" s="17">
        <f>COUNTIF('Driver Responses'!$J$6:$J$25,1)</f>
        <v>0</v>
      </c>
      <c r="H7" s="17">
        <f>COUNT('Driver Responses'!$J$6:$J$25)</f>
        <v>20</v>
      </c>
      <c r="I7" s="19">
        <f>IF(H7=0,"",(C7*5+D7*4+E7*3+F7*2+G7*1)/H7)</f>
        <v>4.0999999999999996</v>
      </c>
      <c r="J7" s="17" t="str">
        <f t="shared" si="0"/>
        <v>Agree</v>
      </c>
    </row>
    <row r="8" spans="1:10" x14ac:dyDescent="0.25">
      <c r="A8" s="17">
        <v>3</v>
      </c>
      <c r="B8" s="18" t="s">
        <v>132</v>
      </c>
      <c r="C8" s="17">
        <f>COUNTIF('Driver Responses'!$K$6:$K$25,5)</f>
        <v>6</v>
      </c>
      <c r="D8" s="17">
        <f>COUNTIF('Driver Responses'!$K$6:$K$25,4)</f>
        <v>14</v>
      </c>
      <c r="E8" s="17">
        <f>COUNTIF('Driver Responses'!$K$6:$K$25,3)</f>
        <v>0</v>
      </c>
      <c r="F8" s="17">
        <f>COUNTIF('Driver Responses'!$K$6:$K$25,2)</f>
        <v>0</v>
      </c>
      <c r="G8" s="17">
        <f>COUNTIF('Driver Responses'!$K$6:$K$25,1)</f>
        <v>0</v>
      </c>
      <c r="H8" s="17">
        <f>COUNT('Driver Responses'!$K$6:$K$25)</f>
        <v>20</v>
      </c>
      <c r="I8" s="19">
        <f>IF(H8=0,"",(C8*5+D8*4+E8*3+F8*2+G8*1)/H8)</f>
        <v>4.3</v>
      </c>
      <c r="J8" s="17" t="str">
        <f t="shared" si="0"/>
        <v>Strongly Agree</v>
      </c>
    </row>
    <row r="9" spans="1:10" ht="25.5" x14ac:dyDescent="0.25">
      <c r="A9" s="17">
        <v>4</v>
      </c>
      <c r="B9" s="18" t="s">
        <v>133</v>
      </c>
      <c r="C9" s="17">
        <f>COUNTIF('Driver Responses'!$L$6:$L$25,5)</f>
        <v>3</v>
      </c>
      <c r="D9" s="17">
        <f>COUNTIF('Driver Responses'!$L$6:$L$25,4)</f>
        <v>16</v>
      </c>
      <c r="E9" s="17">
        <f>COUNTIF('Driver Responses'!$L$6:$L$25,3)</f>
        <v>1</v>
      </c>
      <c r="F9" s="17">
        <f>COUNTIF('Driver Responses'!$L$6:$L$25,2)</f>
        <v>0</v>
      </c>
      <c r="G9" s="17">
        <f>COUNTIF('Driver Responses'!$L$6:$L$25,1)</f>
        <v>0</v>
      </c>
      <c r="H9" s="17">
        <f>COUNT('Driver Responses'!$L$6:$L$25)</f>
        <v>20</v>
      </c>
      <c r="I9" s="19">
        <f>IF(H9=0,"",(C9*5+D9*4+E9*3+F9*2+G9*1)/H9)</f>
        <v>4.0999999999999996</v>
      </c>
      <c r="J9" s="17" t="str">
        <f t="shared" si="0"/>
        <v>Agree</v>
      </c>
    </row>
    <row r="10" spans="1:10" ht="25.5" x14ac:dyDescent="0.25">
      <c r="A10" s="17">
        <v>5</v>
      </c>
      <c r="B10" s="18" t="s">
        <v>134</v>
      </c>
      <c r="C10" s="17">
        <f>COUNTIF('Driver Responses'!$M$6:$M$25,5)</f>
        <v>5</v>
      </c>
      <c r="D10" s="17">
        <f>COUNTIF('Driver Responses'!$M$6:$M$25,4)</f>
        <v>13</v>
      </c>
      <c r="E10" s="17">
        <f>COUNTIF('Driver Responses'!$M$6:$M$25,3)</f>
        <v>2</v>
      </c>
      <c r="F10" s="17">
        <f>COUNTIF('Driver Responses'!$M$6:$M$25,2)</f>
        <v>0</v>
      </c>
      <c r="G10" s="17">
        <f>COUNTIF('Driver Responses'!$M$6:$M$25,1)</f>
        <v>0</v>
      </c>
      <c r="H10" s="17">
        <f>COUNT('Driver Responses'!$M$6:$M$25)</f>
        <v>20</v>
      </c>
      <c r="I10" s="19">
        <f>IF(H10=0,"",(C10*5+D10*4+E10*3+F10*2+G10*1)/H10)</f>
        <v>4.1500000000000004</v>
      </c>
      <c r="J10" s="17" t="str">
        <f t="shared" si="0"/>
        <v>Agree</v>
      </c>
    </row>
    <row r="11" spans="1:10" x14ac:dyDescent="0.25">
      <c r="A11" s="20"/>
      <c r="B11" s="21" t="s">
        <v>192</v>
      </c>
      <c r="C11" s="22"/>
      <c r="D11" s="22"/>
      <c r="E11" s="22"/>
      <c r="F11" s="22"/>
      <c r="G11" s="22"/>
      <c r="H11" s="22"/>
      <c r="I11" s="23">
        <f>IFERROR(AVERAGE(I6:I10),"")</f>
        <v>4.2</v>
      </c>
      <c r="J11" s="24" t="str">
        <f t="shared" si="0"/>
        <v>Agree</v>
      </c>
    </row>
    <row r="13" spans="1:10" x14ac:dyDescent="0.25">
      <c r="A13" s="33" t="s">
        <v>193</v>
      </c>
      <c r="B13" s="34"/>
      <c r="C13" s="34"/>
      <c r="D13" s="34"/>
      <c r="E13" s="34"/>
      <c r="F13" s="34"/>
      <c r="G13" s="34"/>
      <c r="H13" s="34"/>
      <c r="I13" s="34"/>
      <c r="J13" s="35"/>
    </row>
    <row r="14" spans="1:10" x14ac:dyDescent="0.25">
      <c r="A14" s="17">
        <v>1</v>
      </c>
      <c r="B14" s="18" t="s">
        <v>135</v>
      </c>
      <c r="C14" s="17">
        <f>COUNTIF('Driver Responses'!$N$6:$N$25,5)</f>
        <v>6</v>
      </c>
      <c r="D14" s="17">
        <f>COUNTIF('Driver Responses'!$N$6:$N$25,4)</f>
        <v>14</v>
      </c>
      <c r="E14" s="17">
        <f>COUNTIF('Driver Responses'!$N$6:$N$25,3)</f>
        <v>0</v>
      </c>
      <c r="F14" s="17">
        <f>COUNTIF('Driver Responses'!$N$6:$N$25,2)</f>
        <v>0</v>
      </c>
      <c r="G14" s="17">
        <f>COUNTIF('Driver Responses'!$N$6:$N$25,1)</f>
        <v>0</v>
      </c>
      <c r="H14" s="17">
        <f>COUNT('Driver Responses'!$N$6:$N$25)</f>
        <v>20</v>
      </c>
      <c r="I14" s="19">
        <f>IF(H14=0,"",(C14*5+D14*4+E14*3+F14*2+G14*1)/H14)</f>
        <v>4.3</v>
      </c>
      <c r="J14" s="17" t="str">
        <f t="shared" ref="J14:J19" si="1">IF(I14="","",IF(I14&gt;=4.21,"Strongly Agree",IF(I14&gt;=3.41,"Agree",IF(I14&gt;=2.61,"Neutral",IF(I14&gt;=1.81,"Disagree","Strongly Disagree")))))</f>
        <v>Strongly Agree</v>
      </c>
    </row>
    <row r="15" spans="1:10" x14ac:dyDescent="0.25">
      <c r="A15" s="17">
        <v>2</v>
      </c>
      <c r="B15" s="18" t="s">
        <v>136</v>
      </c>
      <c r="C15" s="17">
        <f>COUNTIF('Driver Responses'!$O$6:$O$25,5)</f>
        <v>8</v>
      </c>
      <c r="D15" s="17">
        <f>COUNTIF('Driver Responses'!$O$6:$O$25,4)</f>
        <v>11</v>
      </c>
      <c r="E15" s="17">
        <f>COUNTIF('Driver Responses'!$O$6:$O$25,3)</f>
        <v>1</v>
      </c>
      <c r="F15" s="17">
        <f>COUNTIF('Driver Responses'!$O$6:$O$25,2)</f>
        <v>0</v>
      </c>
      <c r="G15" s="17">
        <f>COUNTIF('Driver Responses'!$O$6:$O$25,1)</f>
        <v>0</v>
      </c>
      <c r="H15" s="17">
        <f>COUNT('Driver Responses'!$O$6:$O$25)</f>
        <v>20</v>
      </c>
      <c r="I15" s="19">
        <f>IF(H15=0,"",(C15*5+D15*4+E15*3+F15*2+G15*1)/H15)</f>
        <v>4.3499999999999996</v>
      </c>
      <c r="J15" s="17" t="str">
        <f t="shared" si="1"/>
        <v>Strongly Agree</v>
      </c>
    </row>
    <row r="16" spans="1:10" x14ac:dyDescent="0.25">
      <c r="A16" s="17">
        <v>3</v>
      </c>
      <c r="B16" s="18" t="s">
        <v>137</v>
      </c>
      <c r="C16" s="17">
        <f>COUNTIF('Driver Responses'!$P$6:$P$25,5)</f>
        <v>5</v>
      </c>
      <c r="D16" s="17">
        <f>COUNTIF('Driver Responses'!$P$6:$P$25,4)</f>
        <v>15</v>
      </c>
      <c r="E16" s="17">
        <f>COUNTIF('Driver Responses'!$P$6:$P$25,3)</f>
        <v>0</v>
      </c>
      <c r="F16" s="17">
        <f>COUNTIF('Driver Responses'!$P$6:$P$25,2)</f>
        <v>0</v>
      </c>
      <c r="G16" s="17">
        <f>COUNTIF('Driver Responses'!$P$6:$P$25,1)</f>
        <v>0</v>
      </c>
      <c r="H16" s="17">
        <f>COUNT('Driver Responses'!$P$6:$P$25)</f>
        <v>20</v>
      </c>
      <c r="I16" s="19">
        <f>IF(H16=0,"",(C16*5+D16*4+E16*3+F16*2+G16*1)/H16)</f>
        <v>4.25</v>
      </c>
      <c r="J16" s="17" t="str">
        <f t="shared" si="1"/>
        <v>Strongly Agree</v>
      </c>
    </row>
    <row r="17" spans="1:10" x14ac:dyDescent="0.25">
      <c r="A17" s="17">
        <v>4</v>
      </c>
      <c r="B17" s="18" t="s">
        <v>138</v>
      </c>
      <c r="C17" s="17">
        <f>COUNTIF('Driver Responses'!$Q$6:$Q$25,5)</f>
        <v>5</v>
      </c>
      <c r="D17" s="17">
        <f>COUNTIF('Driver Responses'!$Q$6:$Q$25,4)</f>
        <v>14</v>
      </c>
      <c r="E17" s="17">
        <f>COUNTIF('Driver Responses'!$Q$6:$Q$25,3)</f>
        <v>1</v>
      </c>
      <c r="F17" s="17">
        <f>COUNTIF('Driver Responses'!$Q$6:$Q$25,2)</f>
        <v>0</v>
      </c>
      <c r="G17" s="17">
        <f>COUNTIF('Driver Responses'!$Q$6:$Q$25,1)</f>
        <v>0</v>
      </c>
      <c r="H17" s="17">
        <f>COUNT('Driver Responses'!$Q$6:$Q$25)</f>
        <v>20</v>
      </c>
      <c r="I17" s="19">
        <f>IF(H17=0,"",(C17*5+D17*4+E17*3+F17*2+G17*1)/H17)</f>
        <v>4.2</v>
      </c>
      <c r="J17" s="17" t="str">
        <f t="shared" si="1"/>
        <v>Agree</v>
      </c>
    </row>
    <row r="18" spans="1:10" x14ac:dyDescent="0.25">
      <c r="A18" s="17">
        <v>5</v>
      </c>
      <c r="B18" s="18" t="s">
        <v>51</v>
      </c>
      <c r="C18" s="17">
        <f>COUNTIF('Driver Responses'!$R$6:$R$25,5)</f>
        <v>8</v>
      </c>
      <c r="D18" s="17">
        <f>COUNTIF('Driver Responses'!$R$6:$R$25,4)</f>
        <v>10</v>
      </c>
      <c r="E18" s="17">
        <f>COUNTIF('Driver Responses'!$R$6:$R$25,3)</f>
        <v>2</v>
      </c>
      <c r="F18" s="17">
        <f>COUNTIF('Driver Responses'!$R$6:$R$25,2)</f>
        <v>0</v>
      </c>
      <c r="G18" s="17">
        <f>COUNTIF('Driver Responses'!$R$6:$R$25,1)</f>
        <v>0</v>
      </c>
      <c r="H18" s="17">
        <f>COUNT('Driver Responses'!$R$6:$R$25)</f>
        <v>20</v>
      </c>
      <c r="I18" s="19">
        <f>IF(H18=0,"",(C18*5+D18*4+E18*3+F18*2+G18*1)/H18)</f>
        <v>4.3</v>
      </c>
      <c r="J18" s="17" t="str">
        <f t="shared" si="1"/>
        <v>Strongly Agree</v>
      </c>
    </row>
    <row r="19" spans="1:10" x14ac:dyDescent="0.25">
      <c r="A19" s="20"/>
      <c r="B19" s="21" t="s">
        <v>194</v>
      </c>
      <c r="C19" s="22"/>
      <c r="D19" s="22"/>
      <c r="E19" s="22"/>
      <c r="F19" s="22"/>
      <c r="G19" s="22"/>
      <c r="H19" s="22"/>
      <c r="I19" s="23">
        <f>IFERROR(AVERAGE(I14:I18),"")</f>
        <v>4.2799999999999994</v>
      </c>
      <c r="J19" s="24" t="str">
        <f t="shared" si="1"/>
        <v>Strongly Agree</v>
      </c>
    </row>
    <row r="21" spans="1:10" x14ac:dyDescent="0.25">
      <c r="A21" s="33" t="s">
        <v>180</v>
      </c>
      <c r="B21" s="34"/>
      <c r="C21" s="34"/>
      <c r="D21" s="34"/>
      <c r="E21" s="34"/>
      <c r="F21" s="34"/>
      <c r="G21" s="34"/>
      <c r="H21" s="34"/>
      <c r="I21" s="34"/>
      <c r="J21" s="35"/>
    </row>
    <row r="22" spans="1:10" x14ac:dyDescent="0.25">
      <c r="A22" s="17">
        <v>1</v>
      </c>
      <c r="B22" s="18" t="s">
        <v>139</v>
      </c>
      <c r="C22" s="17">
        <f>COUNTIF('Driver Responses'!$S$6:$S$25,5)</f>
        <v>5</v>
      </c>
      <c r="D22" s="17">
        <f>COUNTIF('Driver Responses'!$S$6:$S$25,4)</f>
        <v>15</v>
      </c>
      <c r="E22" s="17">
        <f>COUNTIF('Driver Responses'!$S$6:$S$25,3)</f>
        <v>0</v>
      </c>
      <c r="F22" s="17">
        <f>COUNTIF('Driver Responses'!$S$6:$S$25,2)</f>
        <v>0</v>
      </c>
      <c r="G22" s="17">
        <f>COUNTIF('Driver Responses'!$S$6:$S$25,1)</f>
        <v>0</v>
      </c>
      <c r="H22" s="17">
        <f>COUNT('Driver Responses'!$S$6:$S$25)</f>
        <v>20</v>
      </c>
      <c r="I22" s="19">
        <f>IF(H22=0,"",(C22*5+D22*4+E22*3+F22*2+G22*1)/H22)</f>
        <v>4.25</v>
      </c>
      <c r="J22" s="17" t="str">
        <f t="shared" ref="J22:J27" si="2">IF(I22="","",IF(I22&gt;=4.21,"Strongly Agree",IF(I22&gt;=3.41,"Agree",IF(I22&gt;=2.61,"Neutral",IF(I22&gt;=1.81,"Disagree","Strongly Disagree")))))</f>
        <v>Strongly Agree</v>
      </c>
    </row>
    <row r="23" spans="1:10" ht="25.5" x14ac:dyDescent="0.25">
      <c r="A23" s="17">
        <v>2</v>
      </c>
      <c r="B23" s="18" t="s">
        <v>140</v>
      </c>
      <c r="C23" s="17">
        <f>COUNTIF('Driver Responses'!$T$6:$T$25,5)</f>
        <v>7</v>
      </c>
      <c r="D23" s="17">
        <f>COUNTIF('Driver Responses'!$T$6:$T$25,4)</f>
        <v>13</v>
      </c>
      <c r="E23" s="17">
        <f>COUNTIF('Driver Responses'!$T$6:$T$25,3)</f>
        <v>0</v>
      </c>
      <c r="F23" s="17">
        <f>COUNTIF('Driver Responses'!$T$6:$T$25,2)</f>
        <v>0</v>
      </c>
      <c r="G23" s="17">
        <f>COUNTIF('Driver Responses'!$T$6:$T$25,1)</f>
        <v>0</v>
      </c>
      <c r="H23" s="17">
        <f>COUNT('Driver Responses'!$T$6:$T$25)</f>
        <v>20</v>
      </c>
      <c r="I23" s="19">
        <f>IF(H23=0,"",(C23*5+D23*4+E23*3+F23*2+G23*1)/H23)</f>
        <v>4.3499999999999996</v>
      </c>
      <c r="J23" s="17" t="str">
        <f t="shared" si="2"/>
        <v>Strongly Agree</v>
      </c>
    </row>
    <row r="24" spans="1:10" x14ac:dyDescent="0.25">
      <c r="A24" s="17">
        <v>3</v>
      </c>
      <c r="B24" s="18" t="s">
        <v>141</v>
      </c>
      <c r="C24" s="17">
        <f>COUNTIF('Driver Responses'!$U$6:$U$25,5)</f>
        <v>4</v>
      </c>
      <c r="D24" s="17">
        <f>COUNTIF('Driver Responses'!$U$6:$U$25,4)</f>
        <v>15</v>
      </c>
      <c r="E24" s="17">
        <f>COUNTIF('Driver Responses'!$U$6:$U$25,3)</f>
        <v>1</v>
      </c>
      <c r="F24" s="17">
        <f>COUNTIF('Driver Responses'!$U$6:$U$25,2)</f>
        <v>0</v>
      </c>
      <c r="G24" s="17">
        <f>COUNTIF('Driver Responses'!$U$6:$U$25,1)</f>
        <v>0</v>
      </c>
      <c r="H24" s="17">
        <f>COUNT('Driver Responses'!$U$6:$U$25)</f>
        <v>20</v>
      </c>
      <c r="I24" s="19">
        <f>IF(H24=0,"",(C24*5+D24*4+E24*3+F24*2+G24*1)/H24)</f>
        <v>4.1500000000000004</v>
      </c>
      <c r="J24" s="17" t="str">
        <f t="shared" si="2"/>
        <v>Agree</v>
      </c>
    </row>
    <row r="25" spans="1:10" x14ac:dyDescent="0.25">
      <c r="A25" s="17">
        <v>4</v>
      </c>
      <c r="B25" s="18" t="s">
        <v>142</v>
      </c>
      <c r="C25" s="17">
        <f>COUNTIF('Driver Responses'!$V$6:$V$25,5)</f>
        <v>8</v>
      </c>
      <c r="D25" s="17">
        <f>COUNTIF('Driver Responses'!$V$6:$V$25,4)</f>
        <v>11</v>
      </c>
      <c r="E25" s="17">
        <f>COUNTIF('Driver Responses'!$V$6:$V$25,3)</f>
        <v>1</v>
      </c>
      <c r="F25" s="17">
        <f>COUNTIF('Driver Responses'!$V$6:$V$25,2)</f>
        <v>0</v>
      </c>
      <c r="G25" s="17">
        <f>COUNTIF('Driver Responses'!$V$6:$V$25,1)</f>
        <v>0</v>
      </c>
      <c r="H25" s="17">
        <f>COUNT('Driver Responses'!$V$6:$V$25)</f>
        <v>20</v>
      </c>
      <c r="I25" s="19">
        <f>IF(H25=0,"",(C25*5+D25*4+E25*3+F25*2+G25*1)/H25)</f>
        <v>4.3499999999999996</v>
      </c>
      <c r="J25" s="17" t="str">
        <f t="shared" si="2"/>
        <v>Strongly Agree</v>
      </c>
    </row>
    <row r="26" spans="1:10" x14ac:dyDescent="0.25">
      <c r="A26" s="17">
        <v>5</v>
      </c>
      <c r="B26" s="18" t="s">
        <v>143</v>
      </c>
      <c r="C26" s="17">
        <f>COUNTIF('Driver Responses'!$W$6:$W$25,5)</f>
        <v>7</v>
      </c>
      <c r="D26" s="17">
        <f>COUNTIF('Driver Responses'!$W$6:$W$25,4)</f>
        <v>12</v>
      </c>
      <c r="E26" s="17">
        <f>COUNTIF('Driver Responses'!$W$6:$W$25,3)</f>
        <v>1</v>
      </c>
      <c r="F26" s="17">
        <f>COUNTIF('Driver Responses'!$W$6:$W$25,2)</f>
        <v>0</v>
      </c>
      <c r="G26" s="17">
        <f>COUNTIF('Driver Responses'!$W$6:$W$25,1)</f>
        <v>0</v>
      </c>
      <c r="H26" s="17">
        <f>COUNT('Driver Responses'!$W$6:$W$25)</f>
        <v>20</v>
      </c>
      <c r="I26" s="19">
        <f>IF(H26=0,"",(C26*5+D26*4+E26*3+F26*2+G26*1)/H26)</f>
        <v>4.3</v>
      </c>
      <c r="J26" s="17" t="str">
        <f t="shared" si="2"/>
        <v>Strongly Agree</v>
      </c>
    </row>
    <row r="27" spans="1:10" x14ac:dyDescent="0.25">
      <c r="A27" s="20"/>
      <c r="B27" s="21" t="s">
        <v>181</v>
      </c>
      <c r="C27" s="22"/>
      <c r="D27" s="22"/>
      <c r="E27" s="22"/>
      <c r="F27" s="22"/>
      <c r="G27" s="22"/>
      <c r="H27" s="22"/>
      <c r="I27" s="23">
        <f>IFERROR(AVERAGE(I22:I26),"")</f>
        <v>4.28</v>
      </c>
      <c r="J27" s="24" t="str">
        <f t="shared" si="2"/>
        <v>Strongly Agree</v>
      </c>
    </row>
    <row r="29" spans="1:10" x14ac:dyDescent="0.25">
      <c r="A29" s="33" t="s">
        <v>182</v>
      </c>
      <c r="B29" s="34"/>
      <c r="C29" s="34"/>
      <c r="D29" s="34"/>
      <c r="E29" s="34"/>
      <c r="F29" s="34"/>
      <c r="G29" s="34"/>
      <c r="H29" s="34"/>
      <c r="I29" s="34"/>
      <c r="J29" s="35"/>
    </row>
    <row r="30" spans="1:10" x14ac:dyDescent="0.25">
      <c r="A30" s="17">
        <v>1</v>
      </c>
      <c r="B30" s="18" t="s">
        <v>144</v>
      </c>
      <c r="C30" s="17">
        <f>COUNTIF('Driver Responses'!$X$6:$X$25,5)</f>
        <v>10</v>
      </c>
      <c r="D30" s="17">
        <f>COUNTIF('Driver Responses'!$X$6:$X$25,4)</f>
        <v>10</v>
      </c>
      <c r="E30" s="17">
        <f>COUNTIF('Driver Responses'!$X$6:$X$25,3)</f>
        <v>0</v>
      </c>
      <c r="F30" s="17">
        <f>COUNTIF('Driver Responses'!$X$6:$X$25,2)</f>
        <v>0</v>
      </c>
      <c r="G30" s="17">
        <f>COUNTIF('Driver Responses'!$X$6:$X$25,1)</f>
        <v>0</v>
      </c>
      <c r="H30" s="17">
        <f>COUNT('Driver Responses'!$X$6:$X$25)</f>
        <v>20</v>
      </c>
      <c r="I30" s="19">
        <f>IF(H30=0,"",(C30*5+D30*4+E30*3+F30*2+G30*1)/H30)</f>
        <v>4.5</v>
      </c>
      <c r="J30" s="17" t="str">
        <f t="shared" ref="J30:J35" si="3">IF(I30="","",IF(I30&gt;=4.21,"Strongly Agree",IF(I30&gt;=3.41,"Agree",IF(I30&gt;=2.61,"Neutral",IF(I30&gt;=1.81,"Disagree","Strongly Disagree")))))</f>
        <v>Strongly Agree</v>
      </c>
    </row>
    <row r="31" spans="1:10" x14ac:dyDescent="0.25">
      <c r="A31" s="17">
        <v>2</v>
      </c>
      <c r="B31" s="18" t="s">
        <v>145</v>
      </c>
      <c r="C31" s="17">
        <f>COUNTIF('Driver Responses'!$Y$6:$Y$25,5)</f>
        <v>7</v>
      </c>
      <c r="D31" s="17">
        <f>COUNTIF('Driver Responses'!$Y$6:$Y$25,4)</f>
        <v>13</v>
      </c>
      <c r="E31" s="17">
        <f>COUNTIF('Driver Responses'!$Y$6:$Y$25,3)</f>
        <v>0</v>
      </c>
      <c r="F31" s="17">
        <f>COUNTIF('Driver Responses'!$Y$6:$Y$25,2)</f>
        <v>0</v>
      </c>
      <c r="G31" s="17">
        <f>COUNTIF('Driver Responses'!$Y$6:$Y$25,1)</f>
        <v>0</v>
      </c>
      <c r="H31" s="17">
        <f>COUNT('Driver Responses'!$Y$6:$Y$25)</f>
        <v>20</v>
      </c>
      <c r="I31" s="19">
        <f>IF(H31=0,"",(C31*5+D31*4+E31*3+F31*2+G31*1)/H31)</f>
        <v>4.3499999999999996</v>
      </c>
      <c r="J31" s="17" t="str">
        <f t="shared" si="3"/>
        <v>Strongly Agree</v>
      </c>
    </row>
    <row r="32" spans="1:10" x14ac:dyDescent="0.25">
      <c r="A32" s="17">
        <v>3</v>
      </c>
      <c r="B32" s="18" t="s">
        <v>67</v>
      </c>
      <c r="C32" s="17">
        <f>COUNTIF('Driver Responses'!$Z$6:$Z$25,5)</f>
        <v>6</v>
      </c>
      <c r="D32" s="17">
        <f>COUNTIF('Driver Responses'!$Z$6:$Z$25,4)</f>
        <v>14</v>
      </c>
      <c r="E32" s="17">
        <f>COUNTIF('Driver Responses'!$Z$6:$Z$25,3)</f>
        <v>0</v>
      </c>
      <c r="F32" s="17">
        <f>COUNTIF('Driver Responses'!$Z$6:$Z$25,2)</f>
        <v>0</v>
      </c>
      <c r="G32" s="17">
        <f>COUNTIF('Driver Responses'!$Z$6:$Z$25,1)</f>
        <v>0</v>
      </c>
      <c r="H32" s="17">
        <f>COUNT('Driver Responses'!$Z$6:$Z$25)</f>
        <v>20</v>
      </c>
      <c r="I32" s="19">
        <f>IF(H32=0,"",(C32*5+D32*4+E32*3+F32*2+G32*1)/H32)</f>
        <v>4.3</v>
      </c>
      <c r="J32" s="17" t="str">
        <f t="shared" si="3"/>
        <v>Strongly Agree</v>
      </c>
    </row>
    <row r="33" spans="1:10" x14ac:dyDescent="0.25">
      <c r="A33" s="17">
        <v>4</v>
      </c>
      <c r="B33" s="18" t="s">
        <v>146</v>
      </c>
      <c r="C33" s="17">
        <f>COUNTIF('Driver Responses'!$AA$6:$AA$25,5)</f>
        <v>7</v>
      </c>
      <c r="D33" s="17">
        <f>COUNTIF('Driver Responses'!$AA$6:$AA$25,4)</f>
        <v>12</v>
      </c>
      <c r="E33" s="17">
        <f>COUNTIF('Driver Responses'!$AA$6:$AA$25,3)</f>
        <v>1</v>
      </c>
      <c r="F33" s="17">
        <f>COUNTIF('Driver Responses'!$AA$6:$AA$25,2)</f>
        <v>0</v>
      </c>
      <c r="G33" s="17">
        <f>COUNTIF('Driver Responses'!$AA$6:$AA$25,1)</f>
        <v>0</v>
      </c>
      <c r="H33" s="17">
        <f>COUNT('Driver Responses'!$AA$6:$AA$25)</f>
        <v>20</v>
      </c>
      <c r="I33" s="19">
        <f>IF(H33=0,"",(C33*5+D33*4+E33*3+F33*2+G33*1)/H33)</f>
        <v>4.3</v>
      </c>
      <c r="J33" s="17" t="str">
        <f t="shared" si="3"/>
        <v>Strongly Agree</v>
      </c>
    </row>
    <row r="34" spans="1:10" x14ac:dyDescent="0.25">
      <c r="A34" s="17">
        <v>5</v>
      </c>
      <c r="B34" s="18" t="s">
        <v>147</v>
      </c>
      <c r="C34" s="17">
        <f>COUNTIF('Driver Responses'!$AB$6:$AB$25,5)</f>
        <v>9</v>
      </c>
      <c r="D34" s="17">
        <f>COUNTIF('Driver Responses'!$AB$6:$AB$25,4)</f>
        <v>11</v>
      </c>
      <c r="E34" s="17">
        <f>COUNTIF('Driver Responses'!$AB$6:$AB$25,3)</f>
        <v>0</v>
      </c>
      <c r="F34" s="17">
        <f>COUNTIF('Driver Responses'!$AB$6:$AB$25,2)</f>
        <v>0</v>
      </c>
      <c r="G34" s="17">
        <f>COUNTIF('Driver Responses'!$AB$6:$AB$25,1)</f>
        <v>0</v>
      </c>
      <c r="H34" s="17">
        <f>COUNT('Driver Responses'!$AB$6:$AB$25)</f>
        <v>20</v>
      </c>
      <c r="I34" s="19">
        <f>IF(H34=0,"",(C34*5+D34*4+E34*3+F34*2+G34*1)/H34)</f>
        <v>4.45</v>
      </c>
      <c r="J34" s="17" t="str">
        <f t="shared" si="3"/>
        <v>Strongly Agree</v>
      </c>
    </row>
    <row r="35" spans="1:10" x14ac:dyDescent="0.25">
      <c r="A35" s="20"/>
      <c r="B35" s="21" t="s">
        <v>183</v>
      </c>
      <c r="C35" s="22"/>
      <c r="D35" s="22"/>
      <c r="E35" s="22"/>
      <c r="F35" s="22"/>
      <c r="G35" s="22"/>
      <c r="H35" s="22"/>
      <c r="I35" s="23">
        <f>IFERROR(AVERAGE(I30:I34),"")</f>
        <v>4.38</v>
      </c>
      <c r="J35" s="24" t="str">
        <f t="shared" si="3"/>
        <v>Strongly Agree</v>
      </c>
    </row>
    <row r="37" spans="1:10" x14ac:dyDescent="0.25">
      <c r="A37" s="25"/>
      <c r="B37" s="26" t="s">
        <v>188</v>
      </c>
      <c r="C37" s="27"/>
      <c r="D37" s="27"/>
      <c r="E37" s="27"/>
      <c r="F37" s="27"/>
      <c r="G37" s="27"/>
      <c r="H37" s="27"/>
      <c r="I37" s="28">
        <f>IFERROR(AVERAGE(I11,I19,I27,I35),"")</f>
        <v>4.2850000000000001</v>
      </c>
      <c r="J37" s="29" t="str">
        <f>IF(I37="","",IF(I37&gt;=4.21,"Strongly Agree",IF(I37&gt;=3.41,"Agree",IF(I37&gt;=2.61,"Neutral",IF(I37&gt;=1.81,"Disagree","Strongly Disagree")))))</f>
        <v>Strongly Agree</v>
      </c>
    </row>
    <row r="39" spans="1:10" ht="27.95" customHeight="1" x14ac:dyDescent="0.25">
      <c r="B39" s="36" t="s">
        <v>189</v>
      </c>
      <c r="C39" s="31"/>
      <c r="D39" s="31"/>
      <c r="E39" s="31"/>
      <c r="F39" s="31"/>
      <c r="G39" s="31"/>
      <c r="H39" s="31"/>
      <c r="I39" s="31"/>
      <c r="J39" s="31"/>
    </row>
  </sheetData>
  <mergeCells count="5">
    <mergeCell ref="A5:J5"/>
    <mergeCell ref="A21:J21"/>
    <mergeCell ref="A29:J29"/>
    <mergeCell ref="B39:J39"/>
    <mergeCell ref="A13:J1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showGridLines="0" workbookViewId="0">
      <pane ySplit="4" topLeftCell="A5" activePane="bottomLeft" state="frozen"/>
      <selection pane="bottomLeft"/>
    </sheetView>
  </sheetViews>
  <sheetFormatPr defaultRowHeight="15" x14ac:dyDescent="0.25"/>
  <cols>
    <col min="1" max="1" width="4" customWidth="1"/>
    <col min="2" max="2" width="58" customWidth="1"/>
    <col min="3" max="7" width="7" customWidth="1"/>
    <col min="8" max="8" width="8" customWidth="1"/>
    <col min="9" max="9" width="15" customWidth="1"/>
    <col min="10" max="10" width="20" customWidth="1"/>
  </cols>
  <sheetData>
    <row r="1" spans="1:10" ht="18" x14ac:dyDescent="0.25">
      <c r="A1" s="8" t="s">
        <v>39</v>
      </c>
    </row>
    <row r="2" spans="1:10" x14ac:dyDescent="0.25">
      <c r="A2" s="9" t="s">
        <v>195</v>
      </c>
    </row>
    <row r="4" spans="1:10" ht="26.1" customHeight="1" x14ac:dyDescent="0.25">
      <c r="A4" s="16" t="s">
        <v>167</v>
      </c>
      <c r="B4" s="16" t="s">
        <v>168</v>
      </c>
      <c r="C4" s="16" t="s">
        <v>169</v>
      </c>
      <c r="D4" s="16" t="s">
        <v>170</v>
      </c>
      <c r="E4" s="16" t="s">
        <v>171</v>
      </c>
      <c r="F4" s="16" t="s">
        <v>172</v>
      </c>
      <c r="G4" s="16" t="s">
        <v>173</v>
      </c>
      <c r="H4" s="16" t="s">
        <v>174</v>
      </c>
      <c r="I4" s="16" t="s">
        <v>16</v>
      </c>
      <c r="J4" s="16" t="s">
        <v>175</v>
      </c>
    </row>
    <row r="5" spans="1:10" x14ac:dyDescent="0.25">
      <c r="A5" s="33" t="s">
        <v>176</v>
      </c>
      <c r="B5" s="34"/>
      <c r="C5" s="34"/>
      <c r="D5" s="34"/>
      <c r="E5" s="34"/>
      <c r="F5" s="34"/>
      <c r="G5" s="34"/>
      <c r="H5" s="34"/>
      <c r="I5" s="34"/>
      <c r="J5" s="35"/>
    </row>
    <row r="6" spans="1:10" x14ac:dyDescent="0.25">
      <c r="A6" s="17">
        <v>1</v>
      </c>
      <c r="B6" s="18" t="s">
        <v>158</v>
      </c>
      <c r="C6" s="17">
        <f>COUNTIF('Admin Responses'!$E$6:$E$6,5)</f>
        <v>1</v>
      </c>
      <c r="D6" s="17">
        <f>COUNTIF('Admin Responses'!$E$6:$E$6,4)</f>
        <v>0</v>
      </c>
      <c r="E6" s="17">
        <f>COUNTIF('Admin Responses'!$E$6:$E$6,3)</f>
        <v>0</v>
      </c>
      <c r="F6" s="17">
        <f>COUNTIF('Admin Responses'!$E$6:$E$6,2)</f>
        <v>0</v>
      </c>
      <c r="G6" s="17">
        <f>COUNTIF('Admin Responses'!$E$6:$E$6,1)</f>
        <v>0</v>
      </c>
      <c r="H6" s="17">
        <f>COUNT('Admin Responses'!$E$6:$E$6)</f>
        <v>1</v>
      </c>
      <c r="I6" s="19">
        <f>IF(H6=0,"",(C6*5+D6*4+E6*3+F6*2+G6*1)/H6)</f>
        <v>5</v>
      </c>
      <c r="J6" s="17" t="str">
        <f>IF(I6="","",IF(I6&gt;=4.21,"Strongly Agree",IF(I6&gt;=3.41,"Agree",IF(I6&gt;=2.61,"Neutral",IF(I6&gt;=1.81,"Disagree","Strongly Disagree")))))</f>
        <v>Strongly Agree</v>
      </c>
    </row>
    <row r="7" spans="1:10" x14ac:dyDescent="0.25">
      <c r="A7" s="17">
        <v>2</v>
      </c>
      <c r="B7" s="18" t="s">
        <v>159</v>
      </c>
      <c r="C7" s="17">
        <f>COUNTIF('Admin Responses'!$F$6:$F$6,5)</f>
        <v>1</v>
      </c>
      <c r="D7" s="17">
        <f>COUNTIF('Admin Responses'!$F$6:$F$6,4)</f>
        <v>0</v>
      </c>
      <c r="E7" s="17">
        <f>COUNTIF('Admin Responses'!$F$6:$F$6,3)</f>
        <v>0</v>
      </c>
      <c r="F7" s="17">
        <f>COUNTIF('Admin Responses'!$F$6:$F$6,2)</f>
        <v>0</v>
      </c>
      <c r="G7" s="17">
        <f>COUNTIF('Admin Responses'!$F$6:$F$6,1)</f>
        <v>0</v>
      </c>
      <c r="H7" s="17">
        <f>COUNT('Admin Responses'!$F$6:$F$6)</f>
        <v>1</v>
      </c>
      <c r="I7" s="19">
        <f>IF(H7=0,"",(C7*5+D7*4+E7*3+F7*2+G7*1)/H7)</f>
        <v>5</v>
      </c>
      <c r="J7" s="17" t="str">
        <f>IF(I7="","",IF(I7&gt;=4.21,"Strongly Agree",IF(I7&gt;=3.41,"Agree",IF(I7&gt;=2.61,"Neutral",IF(I7&gt;=1.81,"Disagree","Strongly Disagree")))))</f>
        <v>Strongly Agree</v>
      </c>
    </row>
    <row r="8" spans="1:10" x14ac:dyDescent="0.25">
      <c r="A8" s="17">
        <v>3</v>
      </c>
      <c r="B8" s="18" t="s">
        <v>160</v>
      </c>
      <c r="C8" s="17">
        <f>COUNTIF('Admin Responses'!$G$6:$G$6,5)</f>
        <v>1</v>
      </c>
      <c r="D8" s="17">
        <f>COUNTIF('Admin Responses'!$G$6:$G$6,4)</f>
        <v>0</v>
      </c>
      <c r="E8" s="17">
        <f>COUNTIF('Admin Responses'!$G$6:$G$6,3)</f>
        <v>0</v>
      </c>
      <c r="F8" s="17">
        <f>COUNTIF('Admin Responses'!$G$6:$G$6,2)</f>
        <v>0</v>
      </c>
      <c r="G8" s="17">
        <f>COUNTIF('Admin Responses'!$G$6:$G$6,1)</f>
        <v>0</v>
      </c>
      <c r="H8" s="17">
        <f>COUNT('Admin Responses'!$G$6:$G$6)</f>
        <v>1</v>
      </c>
      <c r="I8" s="19">
        <f>IF(H8=0,"",(C8*5+D8*4+E8*3+F8*2+G8*1)/H8)</f>
        <v>5</v>
      </c>
      <c r="J8" s="17" t="str">
        <f>IF(I8="","",IF(I8&gt;=4.21,"Strongly Agree",IF(I8&gt;=3.41,"Agree",IF(I8&gt;=2.61,"Neutral",IF(I8&gt;=1.81,"Disagree","Strongly Disagree")))))</f>
        <v>Strongly Agree</v>
      </c>
    </row>
    <row r="9" spans="1:10" x14ac:dyDescent="0.25">
      <c r="A9" s="20"/>
      <c r="B9" s="21" t="s">
        <v>177</v>
      </c>
      <c r="C9" s="22"/>
      <c r="D9" s="22"/>
      <c r="E9" s="22"/>
      <c r="F9" s="22"/>
      <c r="G9" s="22"/>
      <c r="H9" s="22"/>
      <c r="I9" s="23">
        <f>IFERROR(AVERAGE(I6:I8),"")</f>
        <v>5</v>
      </c>
      <c r="J9" s="24" t="str">
        <f>IF(I9="","",IF(I9&gt;=4.21,"Strongly Agree",IF(I9&gt;=3.41,"Agree",IF(I9&gt;=2.61,"Neutral",IF(I9&gt;=1.81,"Disagree","Strongly Disagree")))))</f>
        <v>Strongly Agree</v>
      </c>
    </row>
    <row r="11" spans="1:10" x14ac:dyDescent="0.25">
      <c r="A11" s="33" t="s">
        <v>178</v>
      </c>
      <c r="B11" s="34"/>
      <c r="C11" s="34"/>
      <c r="D11" s="34"/>
      <c r="E11" s="34"/>
      <c r="F11" s="34"/>
      <c r="G11" s="34"/>
      <c r="H11" s="34"/>
      <c r="I11" s="34"/>
      <c r="J11" s="35"/>
    </row>
    <row r="12" spans="1:10" x14ac:dyDescent="0.25">
      <c r="A12" s="17">
        <v>1</v>
      </c>
      <c r="B12" s="18" t="s">
        <v>161</v>
      </c>
      <c r="C12" s="17">
        <f>COUNTIF('Admin Responses'!$H$6:$H$6,5)</f>
        <v>1</v>
      </c>
      <c r="D12" s="17">
        <f>COUNTIF('Admin Responses'!$H$6:$H$6,4)</f>
        <v>0</v>
      </c>
      <c r="E12" s="17">
        <f>COUNTIF('Admin Responses'!$H$6:$H$6,3)</f>
        <v>0</v>
      </c>
      <c r="F12" s="17">
        <f>COUNTIF('Admin Responses'!$H$6:$H$6,2)</f>
        <v>0</v>
      </c>
      <c r="G12" s="17">
        <f>COUNTIF('Admin Responses'!$H$6:$H$6,1)</f>
        <v>0</v>
      </c>
      <c r="H12" s="17">
        <f>COUNT('Admin Responses'!$H$6:$H$6)</f>
        <v>1</v>
      </c>
      <c r="I12" s="19">
        <f>IF(H12=0,"",(C12*5+D12*4+E12*3+F12*2+G12*1)/H12)</f>
        <v>5</v>
      </c>
      <c r="J12" s="17" t="str">
        <f>IF(I12="","",IF(I12&gt;=4.21,"Strongly Agree",IF(I12&gt;=3.41,"Agree",IF(I12&gt;=2.61,"Neutral",IF(I12&gt;=1.81,"Disagree","Strongly Disagree")))))</f>
        <v>Strongly Agree</v>
      </c>
    </row>
    <row r="13" spans="1:10" x14ac:dyDescent="0.25">
      <c r="A13" s="17">
        <v>2</v>
      </c>
      <c r="B13" s="18" t="s">
        <v>162</v>
      </c>
      <c r="C13" s="17">
        <f>COUNTIF('Admin Responses'!$I$6:$I$6,5)</f>
        <v>1</v>
      </c>
      <c r="D13" s="17">
        <f>COUNTIF('Admin Responses'!$I$6:$I$6,4)</f>
        <v>0</v>
      </c>
      <c r="E13" s="17">
        <f>COUNTIF('Admin Responses'!$I$6:$I$6,3)</f>
        <v>0</v>
      </c>
      <c r="F13" s="17">
        <f>COUNTIF('Admin Responses'!$I$6:$I$6,2)</f>
        <v>0</v>
      </c>
      <c r="G13" s="17">
        <f>COUNTIF('Admin Responses'!$I$6:$I$6,1)</f>
        <v>0</v>
      </c>
      <c r="H13" s="17">
        <f>COUNT('Admin Responses'!$I$6:$I$6)</f>
        <v>1</v>
      </c>
      <c r="I13" s="19">
        <f>IF(H13=0,"",(C13*5+D13*4+E13*3+F13*2+G13*1)/H13)</f>
        <v>5</v>
      </c>
      <c r="J13" s="17" t="str">
        <f>IF(I13="","",IF(I13&gt;=4.21,"Strongly Agree",IF(I13&gt;=3.41,"Agree",IF(I13&gt;=2.61,"Neutral",IF(I13&gt;=1.81,"Disagree","Strongly Disagree")))))</f>
        <v>Strongly Agree</v>
      </c>
    </row>
    <row r="14" spans="1:10" x14ac:dyDescent="0.25">
      <c r="A14" s="20"/>
      <c r="B14" s="21" t="s">
        <v>179</v>
      </c>
      <c r="C14" s="22"/>
      <c r="D14" s="22"/>
      <c r="E14" s="22"/>
      <c r="F14" s="22"/>
      <c r="G14" s="22"/>
      <c r="H14" s="22"/>
      <c r="I14" s="23">
        <f>IFERROR(AVERAGE(I12:I13),"")</f>
        <v>5</v>
      </c>
      <c r="J14" s="24" t="str">
        <f>IF(I14="","",IF(I14&gt;=4.21,"Strongly Agree",IF(I14&gt;=3.41,"Agree",IF(I14&gt;=2.61,"Neutral",IF(I14&gt;=1.81,"Disagree","Strongly Disagree")))))</f>
        <v>Strongly Agree</v>
      </c>
    </row>
    <row r="16" spans="1:10" x14ac:dyDescent="0.25">
      <c r="A16" s="33" t="s">
        <v>196</v>
      </c>
      <c r="B16" s="34"/>
      <c r="C16" s="34"/>
      <c r="D16" s="34"/>
      <c r="E16" s="34"/>
      <c r="F16" s="34"/>
      <c r="G16" s="34"/>
      <c r="H16" s="34"/>
      <c r="I16" s="34"/>
      <c r="J16" s="35"/>
    </row>
    <row r="17" spans="1:10" x14ac:dyDescent="0.25">
      <c r="A17" s="17">
        <v>1</v>
      </c>
      <c r="B17" s="18" t="s">
        <v>163</v>
      </c>
      <c r="C17" s="17">
        <f>COUNTIF('Admin Responses'!$J$6:$J$6,5)</f>
        <v>0</v>
      </c>
      <c r="D17" s="17">
        <f>COUNTIF('Admin Responses'!$J$6:$J$6,4)</f>
        <v>1</v>
      </c>
      <c r="E17" s="17">
        <f>COUNTIF('Admin Responses'!$J$6:$J$6,3)</f>
        <v>0</v>
      </c>
      <c r="F17" s="17">
        <f>COUNTIF('Admin Responses'!$J$6:$J$6,2)</f>
        <v>0</v>
      </c>
      <c r="G17" s="17">
        <f>COUNTIF('Admin Responses'!$J$6:$J$6,1)</f>
        <v>0</v>
      </c>
      <c r="H17" s="17">
        <f>COUNT('Admin Responses'!$J$6:$J$6)</f>
        <v>1</v>
      </c>
      <c r="I17" s="19">
        <f>IF(H17=0,"",(C17*5+D17*4+E17*3+F17*2+G17*1)/H17)</f>
        <v>4</v>
      </c>
      <c r="J17" s="17" t="str">
        <f>IF(I17="","",IF(I17&gt;=4.21,"Strongly Agree",IF(I17&gt;=3.41,"Agree",IF(I17&gt;=2.61,"Neutral",IF(I17&gt;=1.81,"Disagree","Strongly Disagree")))))</f>
        <v>Agree</v>
      </c>
    </row>
    <row r="18" spans="1:10" x14ac:dyDescent="0.25">
      <c r="A18" s="17">
        <v>2</v>
      </c>
      <c r="B18" s="18" t="s">
        <v>164</v>
      </c>
      <c r="C18" s="17">
        <f>COUNTIF('Admin Responses'!$K$6:$K$6,5)</f>
        <v>0</v>
      </c>
      <c r="D18" s="17">
        <f>COUNTIF('Admin Responses'!$K$6:$K$6,4)</f>
        <v>1</v>
      </c>
      <c r="E18" s="17">
        <f>COUNTIF('Admin Responses'!$K$6:$K$6,3)</f>
        <v>0</v>
      </c>
      <c r="F18" s="17">
        <f>COUNTIF('Admin Responses'!$K$6:$K$6,2)</f>
        <v>0</v>
      </c>
      <c r="G18" s="17">
        <f>COUNTIF('Admin Responses'!$K$6:$K$6,1)</f>
        <v>0</v>
      </c>
      <c r="H18" s="17">
        <f>COUNT('Admin Responses'!$K$6:$K$6)</f>
        <v>1</v>
      </c>
      <c r="I18" s="19">
        <f>IF(H18=0,"",(C18*5+D18*4+E18*3+F18*2+G18*1)/H18)</f>
        <v>4</v>
      </c>
      <c r="J18" s="17" t="str">
        <f>IF(I18="","",IF(I18&gt;=4.21,"Strongly Agree",IF(I18&gt;=3.41,"Agree",IF(I18&gt;=2.61,"Neutral",IF(I18&gt;=1.81,"Disagree","Strongly Disagree")))))</f>
        <v>Agree</v>
      </c>
    </row>
    <row r="19" spans="1:10" x14ac:dyDescent="0.25">
      <c r="A19" s="20"/>
      <c r="B19" s="21" t="s">
        <v>197</v>
      </c>
      <c r="C19" s="22"/>
      <c r="D19" s="22"/>
      <c r="E19" s="22"/>
      <c r="F19" s="22"/>
      <c r="G19" s="22"/>
      <c r="H19" s="22"/>
      <c r="I19" s="23">
        <f>IFERROR(AVERAGE(I17:I18),"")</f>
        <v>4</v>
      </c>
      <c r="J19" s="24" t="str">
        <f>IF(I19="","",IF(I19&gt;=4.21,"Strongly Agree",IF(I19&gt;=3.41,"Agree",IF(I19&gt;=2.61,"Neutral",IF(I19&gt;=1.81,"Disagree","Strongly Disagree")))))</f>
        <v>Agree</v>
      </c>
    </row>
    <row r="21" spans="1:10" x14ac:dyDescent="0.25">
      <c r="A21" s="25"/>
      <c r="B21" s="26" t="s">
        <v>188</v>
      </c>
      <c r="C21" s="27"/>
      <c r="D21" s="27"/>
      <c r="E21" s="27"/>
      <c r="F21" s="27"/>
      <c r="G21" s="27"/>
      <c r="H21" s="27"/>
      <c r="I21" s="28">
        <f>IFERROR(AVERAGE(I9,I14,I19),"")</f>
        <v>4.666666666666667</v>
      </c>
      <c r="J21" s="29" t="str">
        <f>IF(I21="","",IF(I21&gt;=4.21,"Strongly Agree",IF(I21&gt;=3.41,"Agree",IF(I21&gt;=2.61,"Neutral",IF(I21&gt;=1.81,"Disagree","Strongly Disagree")))))</f>
        <v>Strongly Agree</v>
      </c>
    </row>
    <row r="23" spans="1:10" ht="27.95" customHeight="1" x14ac:dyDescent="0.25">
      <c r="B23" s="36" t="s">
        <v>189</v>
      </c>
      <c r="C23" s="31"/>
      <c r="D23" s="31"/>
      <c r="E23" s="31"/>
      <c r="F23" s="31"/>
      <c r="G23" s="31"/>
      <c r="H23" s="31"/>
      <c r="I23" s="31"/>
      <c r="J23" s="31"/>
    </row>
  </sheetData>
  <mergeCells count="4">
    <mergeCell ref="A16:J16"/>
    <mergeCell ref="A5:J5"/>
    <mergeCell ref="B23:J23"/>
    <mergeCell ref="A11:J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Passenger Responses</vt:lpstr>
      <vt:lpstr>Driver Responses</vt:lpstr>
      <vt:lpstr>Admin Responses</vt:lpstr>
      <vt:lpstr>Tally - Passenger</vt:lpstr>
      <vt:lpstr>Tally - Driver</vt:lpstr>
      <vt:lpstr>Tally - Admin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Virgilio Mumar</cp:lastModifiedBy>
  <dcterms:created xsi:type="dcterms:W3CDTF">2026-09-10T08:45:55Z</dcterms:created>
  <dcterms:modified xsi:type="dcterms:W3CDTF">2026-09-10T10:00:56Z</dcterms:modified>
</cp:coreProperties>
</file>