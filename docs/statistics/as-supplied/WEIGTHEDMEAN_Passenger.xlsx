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d\Desktop\WEIGHTED MEAN 2027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" l="1"/>
  <c r="F32" i="1"/>
  <c r="T16" i="1"/>
  <c r="S16" i="1"/>
  <c r="R16" i="1"/>
  <c r="Q16" i="1"/>
  <c r="P16" i="1"/>
  <c r="O16" i="1"/>
  <c r="T41" i="1"/>
  <c r="S41" i="1"/>
  <c r="R41" i="1"/>
  <c r="Q41" i="1"/>
  <c r="P41" i="1"/>
  <c r="O41" i="1"/>
  <c r="T47" i="1"/>
  <c r="S47" i="1"/>
  <c r="R47" i="1"/>
  <c r="Q47" i="1"/>
  <c r="P47" i="1"/>
  <c r="O47" i="1"/>
  <c r="U47" i="1" s="1"/>
  <c r="V47" i="1" s="1"/>
  <c r="T42" i="1"/>
  <c r="S42" i="1"/>
  <c r="R42" i="1"/>
  <c r="Q42" i="1"/>
  <c r="P42" i="1"/>
  <c r="O42" i="1"/>
  <c r="T40" i="1"/>
  <c r="S40" i="1"/>
  <c r="R40" i="1"/>
  <c r="Q40" i="1"/>
  <c r="P40" i="1"/>
  <c r="U40" i="1" s="1"/>
  <c r="V40" i="1" s="1"/>
  <c r="D40" i="1" s="1"/>
  <c r="O40" i="1"/>
  <c r="T39" i="1"/>
  <c r="S39" i="1"/>
  <c r="R39" i="1"/>
  <c r="Q39" i="1"/>
  <c r="P39" i="1"/>
  <c r="O39" i="1"/>
  <c r="T38" i="1"/>
  <c r="S38" i="1"/>
  <c r="R38" i="1"/>
  <c r="Q38" i="1"/>
  <c r="P38" i="1"/>
  <c r="O38" i="1"/>
  <c r="U42" i="1" l="1"/>
  <c r="V42" i="1" s="1"/>
  <c r="D42" i="1" s="1"/>
  <c r="U41" i="1"/>
  <c r="V41" i="1" s="1"/>
  <c r="U38" i="1"/>
  <c r="V38" i="1" s="1"/>
  <c r="D38" i="1" s="1"/>
  <c r="U39" i="1"/>
  <c r="V39" i="1" s="1"/>
  <c r="D39" i="1" s="1"/>
  <c r="U16" i="1"/>
  <c r="V16" i="1" s="1"/>
  <c r="D16" i="1" s="1"/>
  <c r="D41" i="1"/>
  <c r="D47" i="1"/>
  <c r="T48" i="1"/>
  <c r="S48" i="1"/>
  <c r="R48" i="1"/>
  <c r="Q48" i="1"/>
  <c r="P48" i="1"/>
  <c r="O48" i="1"/>
  <c r="T46" i="1"/>
  <c r="S46" i="1"/>
  <c r="R46" i="1"/>
  <c r="Q46" i="1"/>
  <c r="P46" i="1"/>
  <c r="O46" i="1"/>
  <c r="T45" i="1"/>
  <c r="S45" i="1"/>
  <c r="R45" i="1"/>
  <c r="Q45" i="1"/>
  <c r="P45" i="1"/>
  <c r="O45" i="1"/>
  <c r="T35" i="1"/>
  <c r="S35" i="1"/>
  <c r="R35" i="1"/>
  <c r="Q35" i="1"/>
  <c r="P35" i="1"/>
  <c r="O35" i="1"/>
  <c r="T34" i="1"/>
  <c r="S34" i="1"/>
  <c r="R34" i="1"/>
  <c r="Q34" i="1"/>
  <c r="P34" i="1"/>
  <c r="O34" i="1"/>
  <c r="T33" i="1"/>
  <c r="S33" i="1"/>
  <c r="R33" i="1"/>
  <c r="Q33" i="1"/>
  <c r="P33" i="1"/>
  <c r="O33" i="1"/>
  <c r="T36" i="1"/>
  <c r="S36" i="1"/>
  <c r="R36" i="1"/>
  <c r="Q36" i="1"/>
  <c r="P36" i="1"/>
  <c r="O36" i="1"/>
  <c r="T32" i="1"/>
  <c r="S32" i="1"/>
  <c r="R32" i="1"/>
  <c r="Q32" i="1"/>
  <c r="P32" i="1"/>
  <c r="O32" i="1"/>
  <c r="F38" i="1" l="1"/>
  <c r="U34" i="1"/>
  <c r="V34" i="1" s="1"/>
  <c r="D34" i="1" s="1"/>
  <c r="U46" i="1"/>
  <c r="V46" i="1" s="1"/>
  <c r="D46" i="1" s="1"/>
  <c r="U45" i="1"/>
  <c r="V45" i="1" s="1"/>
  <c r="D45" i="1" s="1"/>
  <c r="U48" i="1"/>
  <c r="V48" i="1" s="1"/>
  <c r="D48" i="1" s="1"/>
  <c r="U35" i="1"/>
  <c r="V35" i="1" s="1"/>
  <c r="D35" i="1" s="1"/>
  <c r="U33" i="1"/>
  <c r="V33" i="1" s="1"/>
  <c r="D33" i="1" s="1"/>
  <c r="U32" i="1"/>
  <c r="V32" i="1" s="1"/>
  <c r="U36" i="1"/>
  <c r="V36" i="1" s="1"/>
  <c r="D36" i="1" s="1"/>
  <c r="T29" i="1"/>
  <c r="S29" i="1"/>
  <c r="R29" i="1"/>
  <c r="Q29" i="1"/>
  <c r="P29" i="1"/>
  <c r="O29" i="1"/>
  <c r="T28" i="1"/>
  <c r="S28" i="1"/>
  <c r="R28" i="1"/>
  <c r="Q28" i="1"/>
  <c r="P28" i="1"/>
  <c r="O28" i="1"/>
  <c r="T22" i="1"/>
  <c r="S22" i="1"/>
  <c r="R22" i="1"/>
  <c r="Q22" i="1"/>
  <c r="P22" i="1"/>
  <c r="O22" i="1"/>
  <c r="T21" i="1"/>
  <c r="S21" i="1"/>
  <c r="R21" i="1"/>
  <c r="Q21" i="1"/>
  <c r="P21" i="1"/>
  <c r="O21" i="1"/>
  <c r="T20" i="1"/>
  <c r="S20" i="1"/>
  <c r="R20" i="1"/>
  <c r="Q20" i="1"/>
  <c r="P20" i="1"/>
  <c r="O20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D32" i="1" l="1"/>
  <c r="U12" i="1"/>
  <c r="V12" i="1" s="1"/>
  <c r="D12" i="1" s="1"/>
  <c r="U14" i="1"/>
  <c r="V14" i="1" s="1"/>
  <c r="D14" i="1" s="1"/>
  <c r="U20" i="1"/>
  <c r="V20" i="1" s="1"/>
  <c r="D20" i="1" s="1"/>
  <c r="U21" i="1"/>
  <c r="V21" i="1" s="1"/>
  <c r="D21" i="1" s="1"/>
  <c r="U28" i="1"/>
  <c r="V28" i="1" s="1"/>
  <c r="D28" i="1" s="1"/>
  <c r="U29" i="1"/>
  <c r="V29" i="1" s="1"/>
  <c r="D29" i="1" s="1"/>
  <c r="U22" i="1"/>
  <c r="V22" i="1" s="1"/>
  <c r="D22" i="1" s="1"/>
  <c r="U13" i="1"/>
  <c r="V13" i="1" s="1"/>
  <c r="D13" i="1" s="1"/>
  <c r="U15" i="1"/>
  <c r="V15" i="1" s="1"/>
  <c r="D15" i="1" s="1"/>
  <c r="T30" i="1" l="1"/>
  <c r="S30" i="1"/>
  <c r="R30" i="1"/>
  <c r="Q30" i="1"/>
  <c r="P30" i="1"/>
  <c r="O30" i="1"/>
  <c r="U30" i="1" l="1"/>
  <c r="V30" i="1" s="1"/>
  <c r="D30" i="1" s="1"/>
  <c r="T26" i="1"/>
  <c r="S26" i="1"/>
  <c r="R26" i="1"/>
  <c r="Q26" i="1"/>
  <c r="P26" i="1"/>
  <c r="O26" i="1"/>
  <c r="T23" i="1"/>
  <c r="S23" i="1"/>
  <c r="R23" i="1"/>
  <c r="Q23" i="1"/>
  <c r="P23" i="1"/>
  <c r="O23" i="1"/>
  <c r="T17" i="1"/>
  <c r="S17" i="1"/>
  <c r="R17" i="1"/>
  <c r="Q17" i="1"/>
  <c r="P17" i="1"/>
  <c r="O17" i="1"/>
  <c r="T11" i="1"/>
  <c r="S11" i="1"/>
  <c r="R11" i="1"/>
  <c r="Q11" i="1"/>
  <c r="P11" i="1"/>
  <c r="O11" i="1"/>
  <c r="U23" i="1" l="1"/>
  <c r="V23" i="1" s="1"/>
  <c r="D23" i="1" s="1"/>
  <c r="U26" i="1"/>
  <c r="V26" i="1" s="1"/>
  <c r="D26" i="1" s="1"/>
  <c r="U11" i="1"/>
  <c r="V11" i="1" s="1"/>
  <c r="D11" i="1" s="1"/>
  <c r="U17" i="1"/>
  <c r="V17" i="1" s="1"/>
  <c r="D17" i="1" s="1"/>
  <c r="T44" i="1"/>
  <c r="T27" i="1"/>
  <c r="T25" i="1"/>
  <c r="T19" i="1"/>
  <c r="T10" i="1"/>
  <c r="S44" i="1" l="1"/>
  <c r="R44" i="1"/>
  <c r="Q44" i="1"/>
  <c r="P44" i="1"/>
  <c r="O44" i="1"/>
  <c r="S27" i="1"/>
  <c r="R27" i="1"/>
  <c r="Q27" i="1"/>
  <c r="P27" i="1"/>
  <c r="O27" i="1"/>
  <c r="S25" i="1"/>
  <c r="R25" i="1"/>
  <c r="Q25" i="1"/>
  <c r="P25" i="1"/>
  <c r="O25" i="1"/>
  <c r="S19" i="1"/>
  <c r="R19" i="1"/>
  <c r="Q19" i="1"/>
  <c r="P19" i="1"/>
  <c r="O19" i="1"/>
  <c r="U44" i="1" l="1"/>
  <c r="V44" i="1" s="1"/>
  <c r="F44" i="1" s="1"/>
  <c r="U27" i="1"/>
  <c r="V27" i="1" s="1"/>
  <c r="D27" i="1" s="1"/>
  <c r="U25" i="1"/>
  <c r="V25" i="1" s="1"/>
  <c r="F25" i="1" s="1"/>
  <c r="U19" i="1"/>
  <c r="V19" i="1" s="1"/>
  <c r="F19" i="1" s="1"/>
  <c r="D25" i="1" l="1"/>
  <c r="D44" i="1"/>
  <c r="D19" i="1"/>
  <c r="Q10" i="1" l="1"/>
  <c r="P10" i="1"/>
  <c r="O10" i="1"/>
  <c r="S10" i="1" l="1"/>
  <c r="R10" i="1" l="1"/>
  <c r="U10" i="1" s="1"/>
  <c r="V10" i="1" s="1"/>
  <c r="F10" i="1" s="1"/>
  <c r="D10" i="1" l="1"/>
</calcChain>
</file>

<file path=xl/sharedStrings.xml><?xml version="1.0" encoding="utf-8"?>
<sst xmlns="http://schemas.openxmlformats.org/spreadsheetml/2006/main" count="118" uniqueCount="68">
  <si>
    <t>No. of Sub-questions</t>
  </si>
  <si>
    <t>Weighted Mean</t>
  </si>
  <si>
    <t>fx4</t>
  </si>
  <si>
    <t>fx3</t>
  </si>
  <si>
    <t>fx2</t>
  </si>
  <si>
    <t>fx1</t>
  </si>
  <si>
    <t>SA</t>
  </si>
  <si>
    <t>A</t>
  </si>
  <si>
    <t>N</t>
  </si>
  <si>
    <t>DA</t>
  </si>
  <si>
    <t>TOTAL</t>
  </si>
  <si>
    <t>W.MEAN</t>
  </si>
  <si>
    <t>Interpretation</t>
  </si>
  <si>
    <t>4.21 – 5.0 = Strongly Agree</t>
  </si>
  <si>
    <t xml:space="preserve">1.81 – 2.60 = Disagree </t>
  </si>
  <si>
    <t xml:space="preserve">2.61 – 3.40 = Neutral                        </t>
  </si>
  <si>
    <t>SDA</t>
  </si>
  <si>
    <t>1.00 – 1.80 = Strongly Disagree</t>
  </si>
  <si>
    <t>fx5</t>
  </si>
  <si>
    <t>STRONGLY AGREE</t>
  </si>
  <si>
    <t>COMPOSITE TOTAL</t>
  </si>
  <si>
    <t>DESCRIPTION</t>
  </si>
  <si>
    <t>RANK</t>
  </si>
  <si>
    <r>
      <t>3.41 – 4.20 = Agree</t>
    </r>
    <r>
      <rPr>
        <i/>
        <sz val="10.5"/>
        <color rgb="FF000000"/>
        <rFont val="Arial Narrow"/>
        <family val="2"/>
      </rPr>
      <t xml:space="preserve"> </t>
    </r>
  </si>
  <si>
    <t>Total W.MEAN</t>
  </si>
  <si>
    <t xml:space="preserve"> INDICATORS</t>
  </si>
  <si>
    <t>FUNCTIONAL SUITABILITY</t>
  </si>
  <si>
    <t>RELIABILITY</t>
  </si>
  <si>
    <t>USABILITY</t>
  </si>
  <si>
    <t>AGREE</t>
  </si>
  <si>
    <t>SECURITY</t>
  </si>
  <si>
    <t>EFFICIENCY</t>
  </si>
  <si>
    <t>OVERALL SATISFACTION</t>
  </si>
  <si>
    <t>OVERALL WEIGHTED MEAN</t>
  </si>
  <si>
    <t>The ride booking feature works as expected.</t>
  </si>
  <si>
    <t>I receive timely notifications about my ride status.</t>
  </si>
  <si>
    <t>The system accurately matches me with an available driver.</t>
  </si>
  <si>
    <t>I can view the status of my booking in real time.</t>
  </si>
  <si>
    <t>The system performs all its intended functions correctly.</t>
  </si>
  <si>
    <t>The fare displayed is accurate.</t>
  </si>
  <si>
    <t>Driver information is correctly displayed.</t>
  </si>
  <si>
    <t>Ride history is properly recorded.</t>
  </si>
  <si>
    <t>The system is easy to learn.</t>
  </si>
  <si>
    <t>The menus are easy to understand.</t>
  </si>
  <si>
    <t>Icons and buttons are properly labeled.</t>
  </si>
  <si>
    <t>The interface is visually appealing.</t>
  </si>
  <si>
    <t>I can complete my tasks without confusion.</t>
  </si>
  <si>
    <t>The application loads quickly.</t>
  </si>
  <si>
    <t>Booking requests are processed immediately.</t>
  </si>
  <si>
    <t>Notifications arrive without delay.</t>
  </si>
  <si>
    <t>The system performs smoothly.</t>
  </si>
  <si>
    <t>The application consumes minimal mobile resources.</t>
  </si>
  <si>
    <t>The system recovers properly after connection interruptions.</t>
  </si>
  <si>
    <t>I can depend on the system to connect me with a driver when needed.</t>
  </si>
  <si>
    <t>The system maintains accurate and up-to-date information.</t>
  </si>
  <si>
    <t>The system performs well even during peak hours.</t>
  </si>
  <si>
    <t>I trust the system to provide a safe and reliable ride booking experience.</t>
  </si>
  <si>
    <t>I feel that my personal information is protected.</t>
  </si>
  <si>
    <t>The login process is secure.</t>
  </si>
  <si>
    <t>Only authorized users can access their accounts.</t>
  </si>
  <si>
    <t>Driver information is securely stored.</t>
  </si>
  <si>
    <t>I trust the system to protect my data.</t>
  </si>
  <si>
    <t>I am satisfied with the overall performance of the system.</t>
  </si>
  <si>
    <t>I would recommend this system to others.</t>
  </si>
  <si>
    <t>I intend to continue using the system.</t>
  </si>
  <si>
    <t>The system meets my expectations.</t>
  </si>
  <si>
    <t>Overall, I rate the system as effective.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</si>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</sst>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i/>
      <sz val="10.5"/>
      <color rgb="FF000000"/>
      <name val="Arial Narrow"/>
      <family val="2"/>
    </font>
    <font>
      <b/>
      <sz val="10.5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135"/>
  <sheetViews>
    <sheetView tabSelected="1" topLeftCell="B22" zoomScale="85" zoomScaleNormal="85" workbookViewId="0">
      <selection activeCell="Y45" sqref="Y45"/>
    </sheetView>
  </sheetViews>
  <sheetFormatPr defaultRowHeight="13.5" x14ac:dyDescent="0.25"/>
  <cols>
    <col min="1" max="1" width="5.140625" style="1" hidden="1" customWidth="1"/>
    <col min="2" max="2" width="16.42578125" style="1" customWidth="1"/>
    <col min="3" max="3" width="33.7109375" style="1" customWidth="1"/>
    <col min="4" max="4" width="8.28515625" style="1" customWidth="1"/>
    <col min="5" max="5" width="7.5703125" style="1" customWidth="1"/>
    <col min="6" max="6" width="8.85546875" style="1" customWidth="1"/>
    <col min="7" max="7" width="11.140625" style="1" customWidth="1"/>
    <col min="8" max="8" width="3.140625" style="3" customWidth="1"/>
    <col min="9" max="9" width="3.7109375" style="2" customWidth="1"/>
    <col min="10" max="10" width="3.7109375" style="1" customWidth="1"/>
    <col min="11" max="12" width="3.28515625" style="1" customWidth="1"/>
    <col min="13" max="13" width="3.5703125" style="1" customWidth="1"/>
    <col min="14" max="14" width="3.140625" style="3" customWidth="1"/>
    <col min="15" max="16" width="3.28515625" style="1" customWidth="1"/>
    <col min="17" max="17" width="3.42578125" style="1" customWidth="1"/>
    <col min="18" max="18" width="3.28515625" style="1" customWidth="1"/>
    <col min="19" max="19" width="4.7109375" style="1" customWidth="1"/>
    <col min="20" max="20" width="4.5703125" style="1" customWidth="1"/>
    <col min="21" max="21" width="8.140625" style="1" customWidth="1"/>
    <col min="22" max="22" width="7.5703125" style="1" customWidth="1"/>
    <col min="23" max="23" width="12.42578125" style="1" customWidth="1"/>
    <col min="24" max="24" width="6.85546875" style="1" customWidth="1"/>
    <col min="25" max="16384" width="9.140625" style="1"/>
  </cols>
  <sheetData>
    <row r="3" spans="2:24" x14ac:dyDescent="0.25">
      <c r="D3" s="36" t="s">
        <v>13</v>
      </c>
      <c r="E3" s="36"/>
      <c r="F3" s="36"/>
      <c r="G3" s="36"/>
      <c r="H3" s="36"/>
    </row>
    <row r="4" spans="2:24" x14ac:dyDescent="0.25">
      <c r="D4" s="36" t="s">
        <v>23</v>
      </c>
      <c r="E4" s="36"/>
      <c r="F4" s="36"/>
      <c r="G4" s="36"/>
      <c r="H4" s="36"/>
      <c r="I4" s="3"/>
    </row>
    <row r="5" spans="2:24" x14ac:dyDescent="0.25">
      <c r="D5" s="36" t="s">
        <v>15</v>
      </c>
      <c r="E5" s="36"/>
      <c r="F5" s="36"/>
      <c r="G5" s="36"/>
      <c r="H5" s="36"/>
      <c r="I5" s="3"/>
    </row>
    <row r="6" spans="2:24" x14ac:dyDescent="0.25">
      <c r="D6" s="36" t="s">
        <v>14</v>
      </c>
      <c r="E6" s="36"/>
      <c r="F6" s="36"/>
      <c r="G6" s="36"/>
      <c r="H6" s="36"/>
      <c r="I6" s="3"/>
    </row>
    <row r="7" spans="2:24" x14ac:dyDescent="0.25">
      <c r="D7" s="4" t="s">
        <v>17</v>
      </c>
      <c r="E7" s="4"/>
      <c r="F7" s="4"/>
      <c r="G7" s="4"/>
      <c r="H7" s="5"/>
      <c r="I7" s="6"/>
    </row>
    <row r="8" spans="2:24" x14ac:dyDescent="0.25">
      <c r="I8" s="7" t="s">
        <v>6</v>
      </c>
      <c r="J8" s="7" t="s">
        <v>7</v>
      </c>
      <c r="K8" s="7" t="s">
        <v>8</v>
      </c>
      <c r="L8" s="8" t="s">
        <v>9</v>
      </c>
      <c r="M8" s="8" t="s">
        <v>16</v>
      </c>
      <c r="O8" s="7" t="s">
        <v>6</v>
      </c>
      <c r="P8" s="7" t="s">
        <v>7</v>
      </c>
      <c r="Q8" s="7" t="s">
        <v>8</v>
      </c>
      <c r="R8" s="8" t="s">
        <v>9</v>
      </c>
      <c r="S8" s="8" t="s">
        <v>16</v>
      </c>
      <c r="T8" s="31" t="s">
        <v>10</v>
      </c>
      <c r="U8" s="31" t="s">
        <v>20</v>
      </c>
      <c r="V8" s="31" t="s">
        <v>11</v>
      </c>
      <c r="W8" s="37" t="s">
        <v>21</v>
      </c>
      <c r="X8" s="46" t="s">
        <v>22</v>
      </c>
    </row>
    <row r="9" spans="2:24" ht="37.5" customHeight="1" x14ac:dyDescent="0.25">
      <c r="B9" s="41" t="s">
        <v>25</v>
      </c>
      <c r="C9" s="42"/>
      <c r="D9" s="9" t="s">
        <v>24</v>
      </c>
      <c r="E9" s="9" t="s">
        <v>0</v>
      </c>
      <c r="F9" s="9" t="s">
        <v>1</v>
      </c>
      <c r="G9" s="10" t="s">
        <v>12</v>
      </c>
      <c r="I9" s="11" t="s">
        <v>18</v>
      </c>
      <c r="J9" s="11" t="s">
        <v>2</v>
      </c>
      <c r="K9" s="11" t="s">
        <v>3</v>
      </c>
      <c r="L9" s="12" t="s">
        <v>4</v>
      </c>
      <c r="M9" s="12" t="s">
        <v>5</v>
      </c>
      <c r="O9" s="11" t="s">
        <v>18</v>
      </c>
      <c r="P9" s="11" t="s">
        <v>2</v>
      </c>
      <c r="Q9" s="11" t="s">
        <v>3</v>
      </c>
      <c r="R9" s="12" t="s">
        <v>4</v>
      </c>
      <c r="S9" s="12" t="s">
        <v>5</v>
      </c>
      <c r="T9" s="32"/>
      <c r="U9" s="32"/>
      <c r="V9" s="32"/>
      <c r="W9" s="31"/>
      <c r="X9" s="47"/>
    </row>
    <row r="10" spans="2:24" ht="33.75" customHeight="1" x14ac:dyDescent="0.25">
      <c r="B10" s="35" t="s">
        <v>26</v>
      </c>
      <c r="C10" s="29" t="s">
        <v>34</v>
      </c>
      <c r="D10" s="14">
        <f>V10</f>
        <v>4.0999999999999996</v>
      </c>
      <c r="E10" s="33">
        <v>8</v>
      </c>
      <c r="F10" s="34">
        <f>SUM(V10:V17)/8</f>
        <v>4.2249999999999996</v>
      </c>
      <c r="G10" s="35" t="s">
        <v>19</v>
      </c>
      <c r="H10" s="2"/>
      <c r="I10" s="29">
        <v>3</v>
      </c>
      <c r="J10" s="29">
        <v>16</v>
      </c>
      <c r="K10" s="29">
        <v>1</v>
      </c>
      <c r="L10" s="29">
        <v>0</v>
      </c>
      <c r="M10" s="29">
        <v>0</v>
      </c>
      <c r="N10" s="16"/>
      <c r="O10" s="15">
        <f>I10*5</f>
        <v>15</v>
      </c>
      <c r="P10" s="15">
        <f>J10*4</f>
        <v>64</v>
      </c>
      <c r="Q10" s="13">
        <f>K10*3</f>
        <v>3</v>
      </c>
      <c r="R10" s="13">
        <f>L10*2</f>
        <v>0</v>
      </c>
      <c r="S10" s="13">
        <f t="shared" ref="S10" si="0">M10*1</f>
        <v>0</v>
      </c>
      <c r="T10" s="13">
        <f>SUM(I10:M10)</f>
        <v>20</v>
      </c>
      <c r="U10" s="13">
        <f>SUM(O10:S10)</f>
        <v>82</v>
      </c>
      <c r="V10" s="17">
        <f>U10/T10</f>
        <v>4.0999999999999996</v>
      </c>
      <c r="W10" s="29" t="s">
        <v>29</v>
      </c>
      <c r="X10" s="13">
        <v>6.5</v>
      </c>
    </row>
    <row r="11" spans="2:24" ht="33" customHeight="1" x14ac:dyDescent="0.25">
      <c r="B11" s="35"/>
      <c r="C11" s="29" t="s">
        <v>35</v>
      </c>
      <c r="D11" s="23">
        <f t="shared" ref="D11:D17" si="1">V11</f>
        <v>4.05</v>
      </c>
      <c r="E11" s="33"/>
      <c r="F11" s="34"/>
      <c r="G11" s="35"/>
      <c r="H11" s="2"/>
      <c r="I11" s="29">
        <v>1</v>
      </c>
      <c r="J11" s="29">
        <v>19</v>
      </c>
      <c r="K11" s="29">
        <v>0</v>
      </c>
      <c r="L11" s="29">
        <v>0</v>
      </c>
      <c r="M11" s="29">
        <v>0</v>
      </c>
      <c r="N11" s="16"/>
      <c r="O11" s="15">
        <f t="shared" ref="O11:O17" si="2">I11*5</f>
        <v>5</v>
      </c>
      <c r="P11" s="15">
        <f t="shared" ref="P11:P17" si="3">J11*4</f>
        <v>76</v>
      </c>
      <c r="Q11" s="13">
        <f t="shared" ref="Q11:Q17" si="4">K11*3</f>
        <v>0</v>
      </c>
      <c r="R11" s="13">
        <f t="shared" ref="R11:R17" si="5">L11*2</f>
        <v>0</v>
      </c>
      <c r="S11" s="13">
        <f t="shared" ref="S11:S17" si="6">M11*1</f>
        <v>0</v>
      </c>
      <c r="T11" s="13">
        <f t="shared" ref="T11:T17" si="7">SUM(I11:M11)</f>
        <v>20</v>
      </c>
      <c r="U11" s="13">
        <f t="shared" ref="U11:U17" si="8">SUM(O11:S11)</f>
        <v>81</v>
      </c>
      <c r="V11" s="17">
        <f t="shared" ref="V11:V17" si="9">U11/T11</f>
        <v>4.05</v>
      </c>
      <c r="W11" s="29" t="s">
        <v>29</v>
      </c>
      <c r="X11" s="13">
        <v>8</v>
      </c>
    </row>
    <row r="12" spans="2:24" ht="29.25" customHeight="1" x14ac:dyDescent="0.25">
      <c r="B12" s="35"/>
      <c r="C12" s="29" t="s">
        <v>36</v>
      </c>
      <c r="D12" s="23">
        <f t="shared" si="1"/>
        <v>4.45</v>
      </c>
      <c r="E12" s="33"/>
      <c r="F12" s="34"/>
      <c r="G12" s="35"/>
      <c r="H12" s="2"/>
      <c r="I12" s="29">
        <v>10</v>
      </c>
      <c r="J12" s="29">
        <v>9</v>
      </c>
      <c r="K12" s="29">
        <v>1</v>
      </c>
      <c r="L12" s="29">
        <v>0</v>
      </c>
      <c r="M12" s="29">
        <v>0</v>
      </c>
      <c r="N12" s="16"/>
      <c r="O12" s="15">
        <f t="shared" ref="O12:O15" si="10">I12*5</f>
        <v>50</v>
      </c>
      <c r="P12" s="15">
        <f t="shared" ref="P12:P15" si="11">J12*4</f>
        <v>36</v>
      </c>
      <c r="Q12" s="22">
        <f t="shared" ref="Q12:Q15" si="12">K12*3</f>
        <v>3</v>
      </c>
      <c r="R12" s="22">
        <f t="shared" ref="R12:R15" si="13">L12*2</f>
        <v>0</v>
      </c>
      <c r="S12" s="22">
        <f t="shared" ref="S12:S16" si="14">M12*1</f>
        <v>0</v>
      </c>
      <c r="T12" s="22">
        <f t="shared" ref="T12:T16" si="15">SUM(I12:M12)</f>
        <v>20</v>
      </c>
      <c r="U12" s="22">
        <f t="shared" ref="U12:U16" si="16">SUM(O12:S12)</f>
        <v>89</v>
      </c>
      <c r="V12" s="17">
        <f t="shared" ref="V12:V16" si="17">U12/T12</f>
        <v>4.45</v>
      </c>
      <c r="W12" s="22" t="s">
        <v>19</v>
      </c>
      <c r="X12" s="22">
        <v>1</v>
      </c>
    </row>
    <row r="13" spans="2:24" ht="26.25" customHeight="1" x14ac:dyDescent="0.25">
      <c r="B13" s="35"/>
      <c r="C13" s="29" t="s">
        <v>37</v>
      </c>
      <c r="D13" s="23">
        <f t="shared" si="1"/>
        <v>4.0999999999999996</v>
      </c>
      <c r="E13" s="33"/>
      <c r="F13" s="34"/>
      <c r="G13" s="35"/>
      <c r="H13" s="2"/>
      <c r="I13" s="29">
        <v>4</v>
      </c>
      <c r="J13" s="29">
        <v>14</v>
      </c>
      <c r="K13" s="29">
        <v>2</v>
      </c>
      <c r="L13" s="29">
        <v>0</v>
      </c>
      <c r="M13" s="29">
        <v>0</v>
      </c>
      <c r="N13" s="16"/>
      <c r="O13" s="15">
        <f t="shared" si="10"/>
        <v>20</v>
      </c>
      <c r="P13" s="15">
        <f t="shared" si="11"/>
        <v>56</v>
      </c>
      <c r="Q13" s="22">
        <f t="shared" si="12"/>
        <v>6</v>
      </c>
      <c r="R13" s="22">
        <f t="shared" si="13"/>
        <v>0</v>
      </c>
      <c r="S13" s="22">
        <f t="shared" si="14"/>
        <v>0</v>
      </c>
      <c r="T13" s="22">
        <f t="shared" si="15"/>
        <v>20</v>
      </c>
      <c r="U13" s="22">
        <f t="shared" si="16"/>
        <v>82</v>
      </c>
      <c r="V13" s="17">
        <f t="shared" si="17"/>
        <v>4.0999999999999996</v>
      </c>
      <c r="W13" s="29" t="s">
        <v>29</v>
      </c>
      <c r="X13" s="22">
        <v>6.5</v>
      </c>
    </row>
    <row r="14" spans="2:24" ht="27.75" customHeight="1" x14ac:dyDescent="0.25">
      <c r="B14" s="35"/>
      <c r="C14" s="29" t="s">
        <v>38</v>
      </c>
      <c r="D14" s="23">
        <f t="shared" si="1"/>
        <v>4.4000000000000004</v>
      </c>
      <c r="E14" s="33"/>
      <c r="F14" s="34"/>
      <c r="G14" s="35"/>
      <c r="H14" s="2"/>
      <c r="I14" s="29">
        <v>9</v>
      </c>
      <c r="J14" s="29">
        <v>10</v>
      </c>
      <c r="K14" s="29">
        <v>1</v>
      </c>
      <c r="L14" s="29">
        <v>0</v>
      </c>
      <c r="M14" s="29">
        <v>0</v>
      </c>
      <c r="N14" s="16"/>
      <c r="O14" s="15">
        <f t="shared" si="10"/>
        <v>45</v>
      </c>
      <c r="P14" s="15">
        <f t="shared" si="11"/>
        <v>40</v>
      </c>
      <c r="Q14" s="22">
        <f t="shared" si="12"/>
        <v>3</v>
      </c>
      <c r="R14" s="22">
        <f t="shared" si="13"/>
        <v>0</v>
      </c>
      <c r="S14" s="22">
        <f t="shared" si="14"/>
        <v>0</v>
      </c>
      <c r="T14" s="22">
        <f t="shared" si="15"/>
        <v>20</v>
      </c>
      <c r="U14" s="22">
        <f t="shared" si="16"/>
        <v>88</v>
      </c>
      <c r="V14" s="17">
        <f t="shared" si="17"/>
        <v>4.4000000000000004</v>
      </c>
      <c r="W14" s="22" t="s">
        <v>19</v>
      </c>
      <c r="X14" s="22">
        <v>2</v>
      </c>
    </row>
    <row r="15" spans="2:24" ht="24" customHeight="1" x14ac:dyDescent="0.25">
      <c r="B15" s="35"/>
      <c r="C15" s="29" t="s">
        <v>39</v>
      </c>
      <c r="D15" s="23">
        <f t="shared" si="1"/>
        <v>4.25</v>
      </c>
      <c r="E15" s="33"/>
      <c r="F15" s="34"/>
      <c r="G15" s="35"/>
      <c r="H15" s="2"/>
      <c r="I15" s="29">
        <v>5</v>
      </c>
      <c r="J15" s="29">
        <v>15</v>
      </c>
      <c r="K15" s="29">
        <v>0</v>
      </c>
      <c r="L15" s="29">
        <v>0</v>
      </c>
      <c r="M15" s="29">
        <v>0</v>
      </c>
      <c r="N15" s="16"/>
      <c r="O15" s="15">
        <f t="shared" si="10"/>
        <v>25</v>
      </c>
      <c r="P15" s="15">
        <f t="shared" si="11"/>
        <v>60</v>
      </c>
      <c r="Q15" s="22">
        <f t="shared" si="12"/>
        <v>0</v>
      </c>
      <c r="R15" s="22">
        <f t="shared" si="13"/>
        <v>0</v>
      </c>
      <c r="S15" s="22">
        <f t="shared" si="14"/>
        <v>0</v>
      </c>
      <c r="T15" s="22">
        <f t="shared" si="15"/>
        <v>20</v>
      </c>
      <c r="U15" s="22">
        <f t="shared" si="16"/>
        <v>85</v>
      </c>
      <c r="V15" s="17">
        <f t="shared" si="17"/>
        <v>4.25</v>
      </c>
      <c r="W15" s="29" t="s">
        <v>19</v>
      </c>
      <c r="X15" s="22">
        <v>3.5</v>
      </c>
    </row>
    <row r="16" spans="2:24" ht="25.5" customHeight="1" x14ac:dyDescent="0.25">
      <c r="B16" s="35"/>
      <c r="C16" s="29" t="s">
        <v>40</v>
      </c>
      <c r="D16" s="30">
        <f t="shared" si="1"/>
        <v>4.25</v>
      </c>
      <c r="E16" s="33"/>
      <c r="F16" s="34"/>
      <c r="G16" s="35"/>
      <c r="H16" s="2"/>
      <c r="I16" s="29">
        <v>5</v>
      </c>
      <c r="J16" s="29">
        <v>15</v>
      </c>
      <c r="K16" s="29">
        <v>0</v>
      </c>
      <c r="L16" s="29">
        <v>0</v>
      </c>
      <c r="M16" s="29">
        <v>0</v>
      </c>
      <c r="N16" s="16"/>
      <c r="O16" s="15">
        <f>I16*5</f>
        <v>25</v>
      </c>
      <c r="P16" s="15">
        <f>J16*4</f>
        <v>60</v>
      </c>
      <c r="Q16" s="29">
        <f>K16*3</f>
        <v>0</v>
      </c>
      <c r="R16" s="29">
        <f>L16*2</f>
        <v>0</v>
      </c>
      <c r="S16" s="29">
        <f t="shared" si="14"/>
        <v>0</v>
      </c>
      <c r="T16" s="29">
        <f t="shared" si="15"/>
        <v>20</v>
      </c>
      <c r="U16" s="29">
        <f t="shared" si="16"/>
        <v>85</v>
      </c>
      <c r="V16" s="17">
        <f t="shared" si="17"/>
        <v>4.25</v>
      </c>
      <c r="W16" s="29" t="s">
        <v>19</v>
      </c>
      <c r="X16" s="29">
        <v>3.5</v>
      </c>
    </row>
    <row r="17" spans="2:24" ht="18" customHeight="1" x14ac:dyDescent="0.25">
      <c r="B17" s="35"/>
      <c r="C17" s="29" t="s">
        <v>41</v>
      </c>
      <c r="D17" s="23">
        <f t="shared" si="1"/>
        <v>4.2</v>
      </c>
      <c r="E17" s="33"/>
      <c r="F17" s="34"/>
      <c r="G17" s="35"/>
      <c r="H17" s="2"/>
      <c r="I17" s="29">
        <v>4</v>
      </c>
      <c r="J17" s="29">
        <v>16</v>
      </c>
      <c r="K17" s="29">
        <v>0</v>
      </c>
      <c r="L17" s="29">
        <v>0</v>
      </c>
      <c r="M17" s="29">
        <v>0</v>
      </c>
      <c r="N17" s="16"/>
      <c r="O17" s="15">
        <f t="shared" si="2"/>
        <v>20</v>
      </c>
      <c r="P17" s="15">
        <f t="shared" si="3"/>
        <v>64</v>
      </c>
      <c r="Q17" s="13">
        <f t="shared" si="4"/>
        <v>0</v>
      </c>
      <c r="R17" s="13">
        <f t="shared" si="5"/>
        <v>0</v>
      </c>
      <c r="S17" s="13">
        <f t="shared" si="6"/>
        <v>0</v>
      </c>
      <c r="T17" s="13">
        <f t="shared" si="7"/>
        <v>20</v>
      </c>
      <c r="U17" s="13">
        <f t="shared" si="8"/>
        <v>84</v>
      </c>
      <c r="V17" s="17">
        <f t="shared" si="9"/>
        <v>4.2</v>
      </c>
      <c r="W17" s="29" t="s">
        <v>29</v>
      </c>
      <c r="X17" s="13">
        <v>5</v>
      </c>
    </row>
    <row r="18" spans="2:24" ht="9.75" customHeight="1" x14ac:dyDescent="0.25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5"/>
    </row>
    <row r="19" spans="2:24" ht="24.95" customHeight="1" x14ac:dyDescent="0.25">
      <c r="B19" s="35" t="s">
        <v>27</v>
      </c>
      <c r="C19" s="29" t="s">
        <v>52</v>
      </c>
      <c r="D19" s="14">
        <f t="shared" ref="D19:D23" si="18">V19</f>
        <v>4.4000000000000004</v>
      </c>
      <c r="E19" s="33">
        <v>5</v>
      </c>
      <c r="F19" s="34">
        <f>SUM(V19:V23)/5</f>
        <v>4.26</v>
      </c>
      <c r="G19" s="35" t="s">
        <v>19</v>
      </c>
      <c r="H19" s="2"/>
      <c r="I19" s="29">
        <v>8</v>
      </c>
      <c r="J19" s="29">
        <v>12</v>
      </c>
      <c r="K19" s="29">
        <v>0</v>
      </c>
      <c r="L19" s="29">
        <v>0</v>
      </c>
      <c r="M19" s="29">
        <v>0</v>
      </c>
      <c r="N19" s="16"/>
      <c r="O19" s="15">
        <f>I19*5</f>
        <v>40</v>
      </c>
      <c r="P19" s="15">
        <f>J19*4</f>
        <v>48</v>
      </c>
      <c r="Q19" s="13">
        <f>K19*3</f>
        <v>0</v>
      </c>
      <c r="R19" s="13">
        <f>L19*2</f>
        <v>0</v>
      </c>
      <c r="S19" s="13">
        <f t="shared" ref="S19:S23" si="19">M19*1</f>
        <v>0</v>
      </c>
      <c r="T19" s="13">
        <f t="shared" ref="T19:T44" si="20">SUM(I19:M19)</f>
        <v>20</v>
      </c>
      <c r="U19" s="13">
        <f t="shared" ref="U19:U23" si="21">SUM(O19:S19)</f>
        <v>88</v>
      </c>
      <c r="V19" s="17">
        <f t="shared" ref="V19:V23" si="22">U19/T19</f>
        <v>4.4000000000000004</v>
      </c>
      <c r="W19" s="19" t="s">
        <v>19</v>
      </c>
      <c r="X19" s="13">
        <v>1</v>
      </c>
    </row>
    <row r="20" spans="2:24" ht="24.95" customHeight="1" x14ac:dyDescent="0.25">
      <c r="B20" s="35"/>
      <c r="C20" s="29" t="s">
        <v>53</v>
      </c>
      <c r="D20" s="23">
        <f t="shared" si="18"/>
        <v>4.2</v>
      </c>
      <c r="E20" s="33"/>
      <c r="F20" s="34"/>
      <c r="G20" s="35"/>
      <c r="H20" s="2"/>
      <c r="I20" s="29">
        <v>4</v>
      </c>
      <c r="J20" s="29">
        <v>16</v>
      </c>
      <c r="K20" s="29">
        <v>0</v>
      </c>
      <c r="L20" s="29">
        <v>0</v>
      </c>
      <c r="M20" s="29">
        <v>0</v>
      </c>
      <c r="N20" s="16"/>
      <c r="O20" s="15">
        <f t="shared" ref="O20:O22" si="23">I20*5</f>
        <v>20</v>
      </c>
      <c r="P20" s="15">
        <f t="shared" ref="P20:P22" si="24">J20*4</f>
        <v>64</v>
      </c>
      <c r="Q20" s="22">
        <f t="shared" ref="Q20:Q22" si="25">K20*3</f>
        <v>0</v>
      </c>
      <c r="R20" s="22">
        <f t="shared" ref="R20:R22" si="26">L20*2</f>
        <v>0</v>
      </c>
      <c r="S20" s="22">
        <f t="shared" ref="S20:S22" si="27">M20*1</f>
        <v>0</v>
      </c>
      <c r="T20" s="22">
        <f t="shared" ref="T20:T22" si="28">SUM(I20:M20)</f>
        <v>20</v>
      </c>
      <c r="U20" s="22">
        <f t="shared" ref="U20:U22" si="29">SUM(O20:S20)</f>
        <v>84</v>
      </c>
      <c r="V20" s="17">
        <f t="shared" ref="V20:V22" si="30">U20/T20</f>
        <v>4.2</v>
      </c>
      <c r="W20" s="29" t="s">
        <v>29</v>
      </c>
      <c r="X20" s="22">
        <v>4</v>
      </c>
    </row>
    <row r="21" spans="2:24" ht="24.95" customHeight="1" x14ac:dyDescent="0.25">
      <c r="B21" s="35"/>
      <c r="C21" s="29" t="s">
        <v>54</v>
      </c>
      <c r="D21" s="23">
        <f t="shared" si="18"/>
        <v>4.25</v>
      </c>
      <c r="E21" s="33"/>
      <c r="F21" s="34"/>
      <c r="G21" s="35"/>
      <c r="H21" s="2"/>
      <c r="I21" s="29">
        <v>5</v>
      </c>
      <c r="J21" s="29">
        <v>15</v>
      </c>
      <c r="K21" s="29">
        <v>0</v>
      </c>
      <c r="L21" s="29">
        <v>0</v>
      </c>
      <c r="M21" s="29">
        <v>0</v>
      </c>
      <c r="N21" s="16"/>
      <c r="O21" s="15">
        <f t="shared" si="23"/>
        <v>25</v>
      </c>
      <c r="P21" s="15">
        <f t="shared" si="24"/>
        <v>60</v>
      </c>
      <c r="Q21" s="22">
        <f t="shared" si="25"/>
        <v>0</v>
      </c>
      <c r="R21" s="22">
        <f t="shared" si="26"/>
        <v>0</v>
      </c>
      <c r="S21" s="22">
        <f t="shared" si="27"/>
        <v>0</v>
      </c>
      <c r="T21" s="22">
        <f t="shared" si="28"/>
        <v>20</v>
      </c>
      <c r="U21" s="22">
        <f t="shared" si="29"/>
        <v>85</v>
      </c>
      <c r="V21" s="17">
        <f t="shared" si="30"/>
        <v>4.25</v>
      </c>
      <c r="W21" s="22" t="s">
        <v>19</v>
      </c>
      <c r="X21" s="22">
        <v>3</v>
      </c>
    </row>
    <row r="22" spans="2:24" ht="24.95" customHeight="1" x14ac:dyDescent="0.25">
      <c r="B22" s="35"/>
      <c r="C22" s="29" t="s">
        <v>55</v>
      </c>
      <c r="D22" s="23">
        <f t="shared" si="18"/>
        <v>4.1500000000000004</v>
      </c>
      <c r="E22" s="33"/>
      <c r="F22" s="34"/>
      <c r="G22" s="35"/>
      <c r="H22" s="2"/>
      <c r="I22" s="29">
        <v>3</v>
      </c>
      <c r="J22" s="29">
        <v>17</v>
      </c>
      <c r="K22" s="29">
        <v>0</v>
      </c>
      <c r="L22" s="29">
        <v>0</v>
      </c>
      <c r="M22" s="29">
        <v>0</v>
      </c>
      <c r="N22" s="16"/>
      <c r="O22" s="15">
        <f t="shared" si="23"/>
        <v>15</v>
      </c>
      <c r="P22" s="15">
        <f t="shared" si="24"/>
        <v>68</v>
      </c>
      <c r="Q22" s="22">
        <f t="shared" si="25"/>
        <v>0</v>
      </c>
      <c r="R22" s="22">
        <f t="shared" si="26"/>
        <v>0</v>
      </c>
      <c r="S22" s="22">
        <f t="shared" si="27"/>
        <v>0</v>
      </c>
      <c r="T22" s="22">
        <f t="shared" si="28"/>
        <v>20</v>
      </c>
      <c r="U22" s="22">
        <f t="shared" si="29"/>
        <v>83</v>
      </c>
      <c r="V22" s="17">
        <f t="shared" si="30"/>
        <v>4.1500000000000004</v>
      </c>
      <c r="W22" s="29" t="s">
        <v>29</v>
      </c>
      <c r="X22" s="22">
        <v>5</v>
      </c>
    </row>
    <row r="23" spans="2:24" ht="24.95" customHeight="1" x14ac:dyDescent="0.25">
      <c r="B23" s="35"/>
      <c r="C23" s="29" t="s">
        <v>56</v>
      </c>
      <c r="D23" s="23">
        <f t="shared" si="18"/>
        <v>4.3</v>
      </c>
      <c r="E23" s="33"/>
      <c r="F23" s="34"/>
      <c r="G23" s="35"/>
      <c r="H23" s="2"/>
      <c r="I23" s="29">
        <v>6</v>
      </c>
      <c r="J23" s="29">
        <v>14</v>
      </c>
      <c r="K23" s="29">
        <v>0</v>
      </c>
      <c r="L23" s="29">
        <v>0</v>
      </c>
      <c r="M23" s="29">
        <v>0</v>
      </c>
      <c r="N23" s="16"/>
      <c r="O23" s="15">
        <f t="shared" ref="O23" si="31">I23*5</f>
        <v>30</v>
      </c>
      <c r="P23" s="15">
        <f t="shared" ref="P23" si="32">J23*4</f>
        <v>56</v>
      </c>
      <c r="Q23" s="13">
        <f t="shared" ref="Q23" si="33">K23*3</f>
        <v>0</v>
      </c>
      <c r="R23" s="13">
        <f t="shared" ref="R23" si="34">L23*2</f>
        <v>0</v>
      </c>
      <c r="S23" s="13">
        <f t="shared" si="19"/>
        <v>0</v>
      </c>
      <c r="T23" s="13">
        <f t="shared" si="20"/>
        <v>20</v>
      </c>
      <c r="U23" s="13">
        <f t="shared" si="21"/>
        <v>86</v>
      </c>
      <c r="V23" s="17">
        <f t="shared" si="22"/>
        <v>4.3</v>
      </c>
      <c r="W23" s="19" t="s">
        <v>19</v>
      </c>
      <c r="X23" s="13">
        <v>2</v>
      </c>
    </row>
    <row r="24" spans="2:24" ht="9" customHeight="1" x14ac:dyDescent="0.25"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5"/>
    </row>
    <row r="25" spans="2:24" ht="24.95" customHeight="1" x14ac:dyDescent="0.25">
      <c r="B25" s="35" t="s">
        <v>28</v>
      </c>
      <c r="C25" s="29" t="s">
        <v>42</v>
      </c>
      <c r="D25" s="23">
        <f t="shared" ref="D25:D36" si="35">V25</f>
        <v>4.3499999999999996</v>
      </c>
      <c r="E25" s="33">
        <v>6</v>
      </c>
      <c r="F25" s="34">
        <f>SUM(V25:V30)/6</f>
        <v>4.375</v>
      </c>
      <c r="G25" s="35" t="s">
        <v>19</v>
      </c>
      <c r="H25" s="2"/>
      <c r="I25" s="29">
        <v>7</v>
      </c>
      <c r="J25" s="29">
        <v>13</v>
      </c>
      <c r="K25" s="29">
        <v>0</v>
      </c>
      <c r="L25" s="29">
        <v>0</v>
      </c>
      <c r="M25" s="29">
        <v>0</v>
      </c>
      <c r="N25" s="16"/>
      <c r="O25" s="15">
        <f>I25*5</f>
        <v>35</v>
      </c>
      <c r="P25" s="15">
        <f>J25*4</f>
        <v>52</v>
      </c>
      <c r="Q25" s="13">
        <f>K25*3</f>
        <v>0</v>
      </c>
      <c r="R25" s="13">
        <f>L25*2</f>
        <v>0</v>
      </c>
      <c r="S25" s="13">
        <f t="shared" ref="S25:S27" si="36">M25*1</f>
        <v>0</v>
      </c>
      <c r="T25" s="13">
        <f t="shared" si="20"/>
        <v>20</v>
      </c>
      <c r="U25" s="13">
        <f t="shared" ref="U25:U27" si="37">SUM(O25:S25)</f>
        <v>87</v>
      </c>
      <c r="V25" s="17">
        <f t="shared" ref="V25:V32" si="38">U25/T25</f>
        <v>4.3499999999999996</v>
      </c>
      <c r="W25" s="24" t="s">
        <v>29</v>
      </c>
      <c r="X25" s="29">
        <v>4.5</v>
      </c>
    </row>
    <row r="26" spans="2:24" ht="24.95" customHeight="1" x14ac:dyDescent="0.25">
      <c r="B26" s="35"/>
      <c r="C26" s="29" t="s">
        <v>43</v>
      </c>
      <c r="D26" s="23">
        <f t="shared" si="35"/>
        <v>4.4000000000000004</v>
      </c>
      <c r="E26" s="33"/>
      <c r="F26" s="34"/>
      <c r="G26" s="35"/>
      <c r="H26" s="2"/>
      <c r="I26" s="29">
        <v>8</v>
      </c>
      <c r="J26" s="29">
        <v>12</v>
      </c>
      <c r="K26" s="29">
        <v>0</v>
      </c>
      <c r="L26" s="29">
        <v>0</v>
      </c>
      <c r="M26" s="29">
        <v>0</v>
      </c>
      <c r="N26" s="16"/>
      <c r="O26" s="15">
        <f>I26*5</f>
        <v>40</v>
      </c>
      <c r="P26" s="15">
        <f>J26*4</f>
        <v>48</v>
      </c>
      <c r="Q26" s="13">
        <f>K26*3</f>
        <v>0</v>
      </c>
      <c r="R26" s="13">
        <f>L26*2</f>
        <v>0</v>
      </c>
      <c r="S26" s="13">
        <f t="shared" si="36"/>
        <v>0</v>
      </c>
      <c r="T26" s="13">
        <f>SUM(I26:M26)</f>
        <v>20</v>
      </c>
      <c r="U26" s="13">
        <f>SUM(O26:S26)</f>
        <v>88</v>
      </c>
      <c r="V26" s="17">
        <f>U26/T26</f>
        <v>4.4000000000000004</v>
      </c>
      <c r="W26" s="24" t="s">
        <v>29</v>
      </c>
      <c r="X26" s="29">
        <v>2.5</v>
      </c>
    </row>
    <row r="27" spans="2:24" ht="24.95" customHeight="1" x14ac:dyDescent="0.25">
      <c r="B27" s="35"/>
      <c r="C27" s="29" t="s">
        <v>44</v>
      </c>
      <c r="D27" s="14">
        <f t="shared" si="35"/>
        <v>4.4000000000000004</v>
      </c>
      <c r="E27" s="33"/>
      <c r="F27" s="34"/>
      <c r="G27" s="35"/>
      <c r="H27" s="2"/>
      <c r="I27" s="29">
        <v>8</v>
      </c>
      <c r="J27" s="29">
        <v>12</v>
      </c>
      <c r="K27" s="29">
        <v>0</v>
      </c>
      <c r="L27" s="29">
        <v>0</v>
      </c>
      <c r="M27" s="29">
        <v>0</v>
      </c>
      <c r="N27" s="16"/>
      <c r="O27" s="15">
        <f>I27*5</f>
        <v>40</v>
      </c>
      <c r="P27" s="15">
        <f>J27*4</f>
        <v>48</v>
      </c>
      <c r="Q27" s="13">
        <f>K27*3</f>
        <v>0</v>
      </c>
      <c r="R27" s="13">
        <f>L27*2</f>
        <v>0</v>
      </c>
      <c r="S27" s="13">
        <f t="shared" si="36"/>
        <v>0</v>
      </c>
      <c r="T27" s="13">
        <f t="shared" si="20"/>
        <v>20</v>
      </c>
      <c r="U27" s="13">
        <f t="shared" si="37"/>
        <v>88</v>
      </c>
      <c r="V27" s="17">
        <f t="shared" si="38"/>
        <v>4.4000000000000004</v>
      </c>
      <c r="W27" s="19" t="s">
        <v>19</v>
      </c>
      <c r="X27" s="29">
        <v>2.5</v>
      </c>
    </row>
    <row r="28" spans="2:24" ht="24.95" customHeight="1" x14ac:dyDescent="0.25">
      <c r="B28" s="35"/>
      <c r="C28" s="29" t="s">
        <v>45</v>
      </c>
      <c r="D28" s="23">
        <f t="shared" si="35"/>
        <v>4.3</v>
      </c>
      <c r="E28" s="33"/>
      <c r="F28" s="34"/>
      <c r="G28" s="35"/>
      <c r="H28" s="2"/>
      <c r="I28" s="29">
        <v>7</v>
      </c>
      <c r="J28" s="29">
        <v>12</v>
      </c>
      <c r="K28" s="29">
        <v>1</v>
      </c>
      <c r="L28" s="29">
        <v>0</v>
      </c>
      <c r="M28" s="29">
        <v>0</v>
      </c>
      <c r="N28" s="16"/>
      <c r="O28" s="15">
        <f t="shared" ref="O28:O29" si="39">I28*5</f>
        <v>35</v>
      </c>
      <c r="P28" s="15">
        <f t="shared" ref="P28:P29" si="40">J28*4</f>
        <v>48</v>
      </c>
      <c r="Q28" s="22">
        <f t="shared" ref="Q28:Q29" si="41">K28*3</f>
        <v>3</v>
      </c>
      <c r="R28" s="22">
        <f t="shared" ref="R28:R29" si="42">L28*2</f>
        <v>0</v>
      </c>
      <c r="S28" s="22">
        <f t="shared" ref="S28:S29" si="43">M28*1</f>
        <v>0</v>
      </c>
      <c r="T28" s="22">
        <f t="shared" ref="T28:T29" si="44">SUM(I28:M28)</f>
        <v>20</v>
      </c>
      <c r="U28" s="22">
        <f t="shared" ref="U28:U29" si="45">SUM(O28:S28)</f>
        <v>86</v>
      </c>
      <c r="V28" s="17">
        <f t="shared" ref="V28:V29" si="46">U28/T28</f>
        <v>4.3</v>
      </c>
      <c r="W28" s="24" t="s">
        <v>29</v>
      </c>
      <c r="X28" s="29">
        <v>6</v>
      </c>
    </row>
    <row r="29" spans="2:24" ht="24.95" customHeight="1" x14ac:dyDescent="0.25">
      <c r="B29" s="35"/>
      <c r="C29" s="29" t="s">
        <v>46</v>
      </c>
      <c r="D29" s="23">
        <f t="shared" si="35"/>
        <v>4.45</v>
      </c>
      <c r="E29" s="33"/>
      <c r="F29" s="34"/>
      <c r="G29" s="35"/>
      <c r="H29" s="2"/>
      <c r="I29" s="29">
        <v>9</v>
      </c>
      <c r="J29" s="29">
        <v>11</v>
      </c>
      <c r="K29" s="29">
        <v>0</v>
      </c>
      <c r="L29" s="29">
        <v>0</v>
      </c>
      <c r="M29" s="29">
        <v>0</v>
      </c>
      <c r="N29" s="16"/>
      <c r="O29" s="15">
        <f t="shared" si="39"/>
        <v>45</v>
      </c>
      <c r="P29" s="15">
        <f t="shared" si="40"/>
        <v>44</v>
      </c>
      <c r="Q29" s="22">
        <f t="shared" si="41"/>
        <v>0</v>
      </c>
      <c r="R29" s="22">
        <f t="shared" si="42"/>
        <v>0</v>
      </c>
      <c r="S29" s="22">
        <f t="shared" si="43"/>
        <v>0</v>
      </c>
      <c r="T29" s="22">
        <f t="shared" si="44"/>
        <v>20</v>
      </c>
      <c r="U29" s="22">
        <f t="shared" si="45"/>
        <v>89</v>
      </c>
      <c r="V29" s="17">
        <f t="shared" si="46"/>
        <v>4.45</v>
      </c>
      <c r="W29" s="22" t="s">
        <v>19</v>
      </c>
      <c r="X29" s="29">
        <v>1</v>
      </c>
    </row>
    <row r="30" spans="2:24" ht="24.95" customHeight="1" x14ac:dyDescent="0.25">
      <c r="B30" s="35"/>
      <c r="C30" s="29" t="s">
        <v>42</v>
      </c>
      <c r="D30" s="23">
        <f t="shared" si="35"/>
        <v>4.3499999999999996</v>
      </c>
      <c r="E30" s="33"/>
      <c r="F30" s="34"/>
      <c r="G30" s="35"/>
      <c r="H30" s="2"/>
      <c r="I30" s="29">
        <v>7</v>
      </c>
      <c r="J30" s="29">
        <v>13</v>
      </c>
      <c r="K30" s="29">
        <v>0</v>
      </c>
      <c r="L30" s="29">
        <v>0</v>
      </c>
      <c r="M30" s="29">
        <v>0</v>
      </c>
      <c r="N30" s="16"/>
      <c r="O30" s="15">
        <f>I30*5</f>
        <v>35</v>
      </c>
      <c r="P30" s="15">
        <f>J30*4</f>
        <v>52</v>
      </c>
      <c r="Q30" s="19">
        <f>K30*3</f>
        <v>0</v>
      </c>
      <c r="R30" s="19">
        <f>L30*2</f>
        <v>0</v>
      </c>
      <c r="S30" s="19">
        <f t="shared" ref="S30" si="47">M30*1</f>
        <v>0</v>
      </c>
      <c r="T30" s="19">
        <f t="shared" ref="T30" si="48">SUM(I30:M30)</f>
        <v>20</v>
      </c>
      <c r="U30" s="19">
        <f t="shared" ref="U30" si="49">SUM(O30:S30)</f>
        <v>87</v>
      </c>
      <c r="V30" s="17">
        <f t="shared" ref="V30" si="50">U30/T30</f>
        <v>4.3499999999999996</v>
      </c>
      <c r="W30" s="19" t="s">
        <v>19</v>
      </c>
      <c r="X30" s="29">
        <v>4.5</v>
      </c>
    </row>
    <row r="31" spans="2:24" ht="14.25" customHeight="1" x14ac:dyDescent="0.25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5"/>
    </row>
    <row r="32" spans="2:24" ht="24.95" customHeight="1" x14ac:dyDescent="0.25">
      <c r="B32" s="35" t="s">
        <v>31</v>
      </c>
      <c r="C32" s="29" t="s">
        <v>47</v>
      </c>
      <c r="D32" s="25">
        <f t="shared" si="35"/>
        <v>4.3</v>
      </c>
      <c r="E32" s="33">
        <v>5</v>
      </c>
      <c r="F32" s="34">
        <f>SUM(V32:V36)/5</f>
        <v>4.25</v>
      </c>
      <c r="G32" s="35" t="s">
        <v>19</v>
      </c>
      <c r="H32" s="2"/>
      <c r="I32" s="29">
        <v>6</v>
      </c>
      <c r="J32" s="29">
        <v>14</v>
      </c>
      <c r="K32" s="29">
        <v>0</v>
      </c>
      <c r="L32" s="29">
        <v>0</v>
      </c>
      <c r="M32" s="29">
        <v>0</v>
      </c>
      <c r="N32" s="16"/>
      <c r="O32" s="15">
        <f>I32*5</f>
        <v>30</v>
      </c>
      <c r="P32" s="15">
        <f>J32*4</f>
        <v>56</v>
      </c>
      <c r="Q32" s="24">
        <f>K32*3</f>
        <v>0</v>
      </c>
      <c r="R32" s="24">
        <f>L32*2</f>
        <v>0</v>
      </c>
      <c r="S32" s="24">
        <f t="shared" ref="S32" si="51">M32*1</f>
        <v>0</v>
      </c>
      <c r="T32" s="24">
        <f t="shared" ref="T32" si="52">SUM(I32:M32)</f>
        <v>20</v>
      </c>
      <c r="U32" s="24">
        <f t="shared" ref="U32" si="53">SUM(O32:S32)</f>
        <v>86</v>
      </c>
      <c r="V32" s="17">
        <f t="shared" si="38"/>
        <v>4.3</v>
      </c>
      <c r="W32" s="24" t="s">
        <v>19</v>
      </c>
      <c r="X32" s="29">
        <v>2.5</v>
      </c>
    </row>
    <row r="33" spans="2:24" ht="24.95" customHeight="1" x14ac:dyDescent="0.25">
      <c r="B33" s="35"/>
      <c r="C33" s="29" t="s">
        <v>48</v>
      </c>
      <c r="D33" s="25">
        <f t="shared" si="35"/>
        <v>4.2</v>
      </c>
      <c r="E33" s="33"/>
      <c r="F33" s="34"/>
      <c r="G33" s="35"/>
      <c r="H33" s="2"/>
      <c r="I33" s="29">
        <v>4</v>
      </c>
      <c r="J33" s="29">
        <v>16</v>
      </c>
      <c r="K33" s="29">
        <v>0</v>
      </c>
      <c r="L33" s="29">
        <v>0</v>
      </c>
      <c r="M33" s="29">
        <v>0</v>
      </c>
      <c r="N33" s="16"/>
      <c r="O33" s="15">
        <f t="shared" ref="O33:O35" si="54">I33*5</f>
        <v>20</v>
      </c>
      <c r="P33" s="15">
        <f t="shared" ref="P33:P35" si="55">J33*4</f>
        <v>64</v>
      </c>
      <c r="Q33" s="24">
        <f t="shared" ref="Q33:Q35" si="56">K33*3</f>
        <v>0</v>
      </c>
      <c r="R33" s="24">
        <f t="shared" ref="R33:R35" si="57">L33*2</f>
        <v>0</v>
      </c>
      <c r="S33" s="24">
        <f t="shared" ref="S33:S35" si="58">M33*1</f>
        <v>0</v>
      </c>
      <c r="T33" s="24">
        <f t="shared" ref="T33:T35" si="59">SUM(I33:M33)</f>
        <v>20</v>
      </c>
      <c r="U33" s="24">
        <f t="shared" ref="U33:U35" si="60">SUM(O33:S33)</f>
        <v>84</v>
      </c>
      <c r="V33" s="17">
        <f t="shared" ref="V33:V35" si="61">U33/T33</f>
        <v>4.2</v>
      </c>
      <c r="W33" s="29" t="s">
        <v>29</v>
      </c>
      <c r="X33" s="29">
        <v>4</v>
      </c>
    </row>
    <row r="34" spans="2:24" ht="24.95" customHeight="1" x14ac:dyDescent="0.25">
      <c r="B34" s="35"/>
      <c r="C34" s="29" t="s">
        <v>49</v>
      </c>
      <c r="D34" s="25">
        <f t="shared" si="35"/>
        <v>4.05</v>
      </c>
      <c r="E34" s="33"/>
      <c r="F34" s="34"/>
      <c r="G34" s="35"/>
      <c r="H34" s="2"/>
      <c r="I34" s="29">
        <v>3</v>
      </c>
      <c r="J34" s="29">
        <v>15</v>
      </c>
      <c r="K34" s="29">
        <v>2</v>
      </c>
      <c r="L34" s="29">
        <v>0</v>
      </c>
      <c r="M34" s="29">
        <v>0</v>
      </c>
      <c r="N34" s="16"/>
      <c r="O34" s="15">
        <f t="shared" si="54"/>
        <v>15</v>
      </c>
      <c r="P34" s="15">
        <f t="shared" si="55"/>
        <v>60</v>
      </c>
      <c r="Q34" s="24">
        <f t="shared" si="56"/>
        <v>6</v>
      </c>
      <c r="R34" s="24">
        <f t="shared" si="57"/>
        <v>0</v>
      </c>
      <c r="S34" s="24">
        <f t="shared" si="58"/>
        <v>0</v>
      </c>
      <c r="T34" s="24">
        <f t="shared" si="59"/>
        <v>20</v>
      </c>
      <c r="U34" s="24">
        <f t="shared" si="60"/>
        <v>81</v>
      </c>
      <c r="V34" s="17">
        <f t="shared" si="61"/>
        <v>4.05</v>
      </c>
      <c r="W34" s="29" t="s">
        <v>29</v>
      </c>
      <c r="X34" s="29">
        <v>5</v>
      </c>
    </row>
    <row r="35" spans="2:24" ht="24.95" customHeight="1" x14ac:dyDescent="0.25">
      <c r="B35" s="35"/>
      <c r="C35" s="29" t="s">
        <v>50</v>
      </c>
      <c r="D35" s="25">
        <f t="shared" si="35"/>
        <v>4.3</v>
      </c>
      <c r="E35" s="33"/>
      <c r="F35" s="34"/>
      <c r="G35" s="35"/>
      <c r="H35" s="2"/>
      <c r="I35" s="29">
        <v>7</v>
      </c>
      <c r="J35" s="29">
        <v>12</v>
      </c>
      <c r="K35" s="29">
        <v>1</v>
      </c>
      <c r="L35" s="29">
        <v>0</v>
      </c>
      <c r="M35" s="29">
        <v>0</v>
      </c>
      <c r="N35" s="16"/>
      <c r="O35" s="15">
        <f t="shared" si="54"/>
        <v>35</v>
      </c>
      <c r="P35" s="15">
        <f t="shared" si="55"/>
        <v>48</v>
      </c>
      <c r="Q35" s="24">
        <f t="shared" si="56"/>
        <v>3</v>
      </c>
      <c r="R35" s="24">
        <f t="shared" si="57"/>
        <v>0</v>
      </c>
      <c r="S35" s="24">
        <f t="shared" si="58"/>
        <v>0</v>
      </c>
      <c r="T35" s="24">
        <f t="shared" si="59"/>
        <v>20</v>
      </c>
      <c r="U35" s="24">
        <f t="shared" si="60"/>
        <v>86</v>
      </c>
      <c r="V35" s="17">
        <f t="shared" si="61"/>
        <v>4.3</v>
      </c>
      <c r="W35" s="24" t="s">
        <v>19</v>
      </c>
      <c r="X35" s="29">
        <v>2.5</v>
      </c>
    </row>
    <row r="36" spans="2:24" ht="24.75" customHeight="1" x14ac:dyDescent="0.25">
      <c r="B36" s="35"/>
      <c r="C36" s="29" t="s">
        <v>51</v>
      </c>
      <c r="D36" s="25">
        <f t="shared" si="35"/>
        <v>4.4000000000000004</v>
      </c>
      <c r="E36" s="33"/>
      <c r="F36" s="34"/>
      <c r="G36" s="35"/>
      <c r="H36" s="2"/>
      <c r="I36" s="29">
        <v>8</v>
      </c>
      <c r="J36" s="29">
        <v>12</v>
      </c>
      <c r="K36" s="29">
        <v>0</v>
      </c>
      <c r="L36" s="29">
        <v>0</v>
      </c>
      <c r="M36" s="29">
        <v>0</v>
      </c>
      <c r="N36" s="16"/>
      <c r="O36" s="15">
        <f>I36*5</f>
        <v>40</v>
      </c>
      <c r="P36" s="15">
        <f>J36*4</f>
        <v>48</v>
      </c>
      <c r="Q36" s="24">
        <f>K36*3</f>
        <v>0</v>
      </c>
      <c r="R36" s="24">
        <f>L36*2</f>
        <v>0</v>
      </c>
      <c r="S36" s="24">
        <f t="shared" ref="S36" si="62">M36*1</f>
        <v>0</v>
      </c>
      <c r="T36" s="24">
        <f>SUM(I36:M36)</f>
        <v>20</v>
      </c>
      <c r="U36" s="24">
        <f>SUM(O36:S36)</f>
        <v>88</v>
      </c>
      <c r="V36" s="17">
        <f>U36/T36</f>
        <v>4.4000000000000004</v>
      </c>
      <c r="W36" s="24" t="s">
        <v>19</v>
      </c>
      <c r="X36" s="29">
        <v>1</v>
      </c>
    </row>
    <row r="37" spans="2:24" ht="14.25" customHeight="1" x14ac:dyDescent="0.25">
      <c r="B37" s="26"/>
      <c r="C37" s="27"/>
      <c r="D37" s="48"/>
      <c r="E37" s="49"/>
      <c r="F37" s="48"/>
      <c r="G37" s="27"/>
      <c r="I37" s="27"/>
      <c r="J37" s="27"/>
      <c r="K37" s="27"/>
      <c r="L37" s="27"/>
      <c r="M37" s="27"/>
      <c r="O37" s="3"/>
      <c r="P37" s="3"/>
      <c r="Q37" s="27"/>
      <c r="R37" s="27"/>
      <c r="S37" s="27"/>
      <c r="T37" s="27"/>
      <c r="U37" s="27"/>
      <c r="V37" s="50"/>
      <c r="W37" s="27"/>
      <c r="X37" s="28"/>
    </row>
    <row r="38" spans="2:24" ht="24.95" customHeight="1" x14ac:dyDescent="0.25">
      <c r="B38" s="35" t="s">
        <v>30</v>
      </c>
      <c r="C38" s="29" t="s">
        <v>57</v>
      </c>
      <c r="D38" s="30">
        <f t="shared" ref="D38:D42" si="63">V38</f>
        <v>4.3499999999999996</v>
      </c>
      <c r="E38" s="33">
        <v>5</v>
      </c>
      <c r="F38" s="34">
        <f>SUM(V38:V42)/5</f>
        <v>4.3400000000000007</v>
      </c>
      <c r="G38" s="35" t="s">
        <v>19</v>
      </c>
      <c r="H38" s="2"/>
      <c r="I38" s="29">
        <v>7</v>
      </c>
      <c r="J38" s="29">
        <v>13</v>
      </c>
      <c r="K38" s="29">
        <v>0</v>
      </c>
      <c r="L38" s="29">
        <v>0</v>
      </c>
      <c r="M38" s="29">
        <v>0</v>
      </c>
      <c r="N38" s="16"/>
      <c r="O38" s="15">
        <f>I38*5</f>
        <v>35</v>
      </c>
      <c r="P38" s="15">
        <f>J38*4</f>
        <v>52</v>
      </c>
      <c r="Q38" s="29">
        <f>K38*3</f>
        <v>0</v>
      </c>
      <c r="R38" s="29">
        <f>L38*2</f>
        <v>0</v>
      </c>
      <c r="S38" s="29">
        <f t="shared" ref="S38:S42" si="64">M38*1</f>
        <v>0</v>
      </c>
      <c r="T38" s="29">
        <f t="shared" ref="T38:T42" si="65">SUM(I38:M38)</f>
        <v>20</v>
      </c>
      <c r="U38" s="29">
        <f t="shared" ref="U38:U42" si="66">SUM(O38:S38)</f>
        <v>87</v>
      </c>
      <c r="V38" s="17">
        <f t="shared" ref="V38:V42" si="67">U38/T38</f>
        <v>4.3499999999999996</v>
      </c>
      <c r="W38" s="29" t="s">
        <v>19</v>
      </c>
      <c r="X38" s="29">
        <v>3</v>
      </c>
    </row>
    <row r="39" spans="2:24" ht="24.95" customHeight="1" x14ac:dyDescent="0.25">
      <c r="B39" s="35"/>
      <c r="C39" s="29" t="s">
        <v>58</v>
      </c>
      <c r="D39" s="30">
        <f t="shared" si="63"/>
        <v>4.4000000000000004</v>
      </c>
      <c r="E39" s="33"/>
      <c r="F39" s="34"/>
      <c r="G39" s="35"/>
      <c r="H39" s="2"/>
      <c r="I39" s="29">
        <v>8</v>
      </c>
      <c r="J39" s="29">
        <v>12</v>
      </c>
      <c r="K39" s="29">
        <v>0</v>
      </c>
      <c r="L39" s="29">
        <v>0</v>
      </c>
      <c r="M39" s="29">
        <v>0</v>
      </c>
      <c r="N39" s="16"/>
      <c r="O39" s="15">
        <f t="shared" ref="O39:O42" si="68">I39*5</f>
        <v>40</v>
      </c>
      <c r="P39" s="15">
        <f t="shared" ref="P39:P42" si="69">J39*4</f>
        <v>48</v>
      </c>
      <c r="Q39" s="29">
        <f t="shared" ref="Q39:Q42" si="70">K39*3</f>
        <v>0</v>
      </c>
      <c r="R39" s="29">
        <f t="shared" ref="R39:R42" si="71">L39*2</f>
        <v>0</v>
      </c>
      <c r="S39" s="29">
        <f t="shared" si="64"/>
        <v>0</v>
      </c>
      <c r="T39" s="29">
        <f t="shared" si="65"/>
        <v>20</v>
      </c>
      <c r="U39" s="29">
        <f t="shared" si="66"/>
        <v>88</v>
      </c>
      <c r="V39" s="17">
        <f t="shared" si="67"/>
        <v>4.4000000000000004</v>
      </c>
      <c r="W39" s="29" t="s">
        <v>19</v>
      </c>
      <c r="X39" s="29">
        <v>1</v>
      </c>
    </row>
    <row r="40" spans="2:24" ht="24.95" customHeight="1" x14ac:dyDescent="0.25">
      <c r="B40" s="35"/>
      <c r="C40" s="29" t="s">
        <v>59</v>
      </c>
      <c r="D40" s="30">
        <f t="shared" si="63"/>
        <v>4.25</v>
      </c>
      <c r="E40" s="33"/>
      <c r="F40" s="34"/>
      <c r="G40" s="35"/>
      <c r="H40" s="2"/>
      <c r="I40" s="29">
        <v>6</v>
      </c>
      <c r="J40" s="29">
        <v>13</v>
      </c>
      <c r="K40" s="29">
        <v>1</v>
      </c>
      <c r="L40" s="29">
        <v>0</v>
      </c>
      <c r="M40" s="29">
        <v>0</v>
      </c>
      <c r="N40" s="16"/>
      <c r="O40" s="15">
        <f t="shared" si="68"/>
        <v>30</v>
      </c>
      <c r="P40" s="15">
        <f t="shared" si="69"/>
        <v>52</v>
      </c>
      <c r="Q40" s="29">
        <f t="shared" si="70"/>
        <v>3</v>
      </c>
      <c r="R40" s="29">
        <f t="shared" si="71"/>
        <v>0</v>
      </c>
      <c r="S40" s="29">
        <f t="shared" si="64"/>
        <v>0</v>
      </c>
      <c r="T40" s="29">
        <f t="shared" si="65"/>
        <v>20</v>
      </c>
      <c r="U40" s="29">
        <f t="shared" si="66"/>
        <v>85</v>
      </c>
      <c r="V40" s="17">
        <f t="shared" si="67"/>
        <v>4.25</v>
      </c>
      <c r="W40" s="29" t="s">
        <v>19</v>
      </c>
      <c r="X40" s="29">
        <v>5</v>
      </c>
    </row>
    <row r="41" spans="2:24" ht="24.95" customHeight="1" x14ac:dyDescent="0.25">
      <c r="B41" s="35"/>
      <c r="C41" s="29" t="s">
        <v>60</v>
      </c>
      <c r="D41" s="30">
        <f t="shared" si="63"/>
        <v>4.3499999999999996</v>
      </c>
      <c r="E41" s="33"/>
      <c r="F41" s="34"/>
      <c r="G41" s="35"/>
      <c r="H41" s="2"/>
      <c r="I41" s="29">
        <v>9</v>
      </c>
      <c r="J41" s="29">
        <v>9</v>
      </c>
      <c r="K41" s="29">
        <v>2</v>
      </c>
      <c r="L41" s="29">
        <v>0</v>
      </c>
      <c r="M41" s="29">
        <v>0</v>
      </c>
      <c r="N41" s="16"/>
      <c r="O41" s="15">
        <f>I41*5</f>
        <v>45</v>
      </c>
      <c r="P41" s="15">
        <f>J41*4</f>
        <v>36</v>
      </c>
      <c r="Q41" s="29">
        <f>K41*3</f>
        <v>6</v>
      </c>
      <c r="R41" s="29">
        <f>L41*2</f>
        <v>0</v>
      </c>
      <c r="S41" s="29">
        <f t="shared" si="64"/>
        <v>0</v>
      </c>
      <c r="T41" s="29">
        <f t="shared" si="65"/>
        <v>20</v>
      </c>
      <c r="U41" s="29">
        <f t="shared" si="66"/>
        <v>87</v>
      </c>
      <c r="V41" s="17">
        <f t="shared" si="67"/>
        <v>4.3499999999999996</v>
      </c>
      <c r="W41" s="29" t="s">
        <v>19</v>
      </c>
      <c r="X41" s="29">
        <v>3</v>
      </c>
    </row>
    <row r="42" spans="2:24" ht="24.95" customHeight="1" x14ac:dyDescent="0.25">
      <c r="B42" s="35"/>
      <c r="C42" s="29" t="s">
        <v>61</v>
      </c>
      <c r="D42" s="30">
        <f t="shared" si="63"/>
        <v>4.3499999999999996</v>
      </c>
      <c r="E42" s="33"/>
      <c r="F42" s="34"/>
      <c r="G42" s="35"/>
      <c r="H42" s="2"/>
      <c r="I42" s="29">
        <v>7</v>
      </c>
      <c r="J42" s="29">
        <v>13</v>
      </c>
      <c r="K42" s="29">
        <v>0</v>
      </c>
      <c r="L42" s="29">
        <v>0</v>
      </c>
      <c r="M42" s="29">
        <v>0</v>
      </c>
      <c r="N42" s="16"/>
      <c r="O42" s="15">
        <f t="shared" si="68"/>
        <v>35</v>
      </c>
      <c r="P42" s="15">
        <f t="shared" si="69"/>
        <v>52</v>
      </c>
      <c r="Q42" s="29">
        <f t="shared" si="70"/>
        <v>0</v>
      </c>
      <c r="R42" s="29">
        <f t="shared" si="71"/>
        <v>0</v>
      </c>
      <c r="S42" s="29">
        <f t="shared" si="64"/>
        <v>0</v>
      </c>
      <c r="T42" s="29">
        <f t="shared" si="65"/>
        <v>20</v>
      </c>
      <c r="U42" s="29">
        <f t="shared" si="66"/>
        <v>87</v>
      </c>
      <c r="V42" s="17">
        <f t="shared" si="67"/>
        <v>4.3499999999999996</v>
      </c>
      <c r="W42" s="29" t="s">
        <v>19</v>
      </c>
      <c r="X42" s="29">
        <v>3</v>
      </c>
    </row>
    <row r="43" spans="2:24" ht="9.75" customHeight="1" x14ac:dyDescent="0.25"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5"/>
    </row>
    <row r="44" spans="2:24" ht="24.95" customHeight="1" x14ac:dyDescent="0.25">
      <c r="B44" s="35" t="s">
        <v>32</v>
      </c>
      <c r="C44" s="29" t="s">
        <v>62</v>
      </c>
      <c r="D44" s="14">
        <f t="shared" ref="D44:D48" si="72">V44</f>
        <v>4.4000000000000004</v>
      </c>
      <c r="E44" s="33">
        <v>5</v>
      </c>
      <c r="F44" s="34">
        <f>SUM(V44:V48)/5</f>
        <v>4.3499999999999996</v>
      </c>
      <c r="G44" s="35" t="s">
        <v>19</v>
      </c>
      <c r="H44" s="2"/>
      <c r="I44" s="29">
        <v>8</v>
      </c>
      <c r="J44" s="29">
        <v>12</v>
      </c>
      <c r="K44" s="29">
        <v>0</v>
      </c>
      <c r="L44" s="29">
        <v>0</v>
      </c>
      <c r="M44" s="29">
        <v>0</v>
      </c>
      <c r="N44" s="16"/>
      <c r="O44" s="15">
        <f>I44*5</f>
        <v>40</v>
      </c>
      <c r="P44" s="15">
        <f>J44*4</f>
        <v>48</v>
      </c>
      <c r="Q44" s="13">
        <f>K44*3</f>
        <v>0</v>
      </c>
      <c r="R44" s="13">
        <f>L44*2</f>
        <v>0</v>
      </c>
      <c r="S44" s="13">
        <f t="shared" ref="S44" si="73">M44*1</f>
        <v>0</v>
      </c>
      <c r="T44" s="13">
        <f t="shared" si="20"/>
        <v>20</v>
      </c>
      <c r="U44" s="13">
        <f t="shared" ref="U44" si="74">SUM(O44:S44)</f>
        <v>88</v>
      </c>
      <c r="V44" s="17">
        <f t="shared" ref="V44" si="75">U44/T44</f>
        <v>4.4000000000000004</v>
      </c>
      <c r="W44" s="21" t="s">
        <v>19</v>
      </c>
      <c r="X44" s="29">
        <v>2</v>
      </c>
    </row>
    <row r="45" spans="2:24" ht="24.95" customHeight="1" x14ac:dyDescent="0.25">
      <c r="B45" s="35"/>
      <c r="C45" s="29" t="s">
        <v>63</v>
      </c>
      <c r="D45" s="25">
        <f t="shared" si="72"/>
        <v>4.3</v>
      </c>
      <c r="E45" s="33"/>
      <c r="F45" s="34"/>
      <c r="G45" s="35"/>
      <c r="H45" s="2"/>
      <c r="I45" s="29">
        <v>6</v>
      </c>
      <c r="J45" s="29">
        <v>14</v>
      </c>
      <c r="K45" s="29">
        <v>0</v>
      </c>
      <c r="L45" s="29">
        <v>0</v>
      </c>
      <c r="M45" s="29">
        <v>0</v>
      </c>
      <c r="N45" s="16"/>
      <c r="O45" s="15">
        <f t="shared" ref="O45:O48" si="76">I45*5</f>
        <v>30</v>
      </c>
      <c r="P45" s="15">
        <f t="shared" ref="P45:P48" si="77">J45*4</f>
        <v>56</v>
      </c>
      <c r="Q45" s="24">
        <f t="shared" ref="Q45:Q48" si="78">K45*3</f>
        <v>0</v>
      </c>
      <c r="R45" s="24">
        <f t="shared" ref="R45:R48" si="79">L45*2</f>
        <v>0</v>
      </c>
      <c r="S45" s="24">
        <f t="shared" ref="S45:S48" si="80">M45*1</f>
        <v>0</v>
      </c>
      <c r="T45" s="24">
        <f t="shared" ref="T45:T48" si="81">SUM(I45:M45)</f>
        <v>20</v>
      </c>
      <c r="U45" s="24">
        <f t="shared" ref="U45:U48" si="82">SUM(O45:S45)</f>
        <v>86</v>
      </c>
      <c r="V45" s="17">
        <f t="shared" ref="V45:V48" si="83">U45/T45</f>
        <v>4.3</v>
      </c>
      <c r="W45" s="24" t="s">
        <v>19</v>
      </c>
      <c r="X45" s="29">
        <v>4</v>
      </c>
    </row>
    <row r="46" spans="2:24" ht="24.95" customHeight="1" x14ac:dyDescent="0.25">
      <c r="B46" s="35"/>
      <c r="C46" s="29" t="s">
        <v>64</v>
      </c>
      <c r="D46" s="25">
        <f t="shared" si="72"/>
        <v>4.3</v>
      </c>
      <c r="E46" s="33"/>
      <c r="F46" s="34"/>
      <c r="G46" s="35"/>
      <c r="H46" s="2"/>
      <c r="I46" s="29">
        <v>6</v>
      </c>
      <c r="J46" s="29">
        <v>14</v>
      </c>
      <c r="K46" s="29">
        <v>0</v>
      </c>
      <c r="L46" s="29">
        <v>0</v>
      </c>
      <c r="M46" s="29">
        <v>0</v>
      </c>
      <c r="N46" s="16"/>
      <c r="O46" s="15">
        <f t="shared" si="76"/>
        <v>30</v>
      </c>
      <c r="P46" s="15">
        <f t="shared" si="77"/>
        <v>56</v>
      </c>
      <c r="Q46" s="24">
        <f t="shared" si="78"/>
        <v>0</v>
      </c>
      <c r="R46" s="24">
        <f t="shared" si="79"/>
        <v>0</v>
      </c>
      <c r="S46" s="24">
        <f t="shared" si="80"/>
        <v>0</v>
      </c>
      <c r="T46" s="24">
        <f t="shared" si="81"/>
        <v>20</v>
      </c>
      <c r="U46" s="24">
        <f t="shared" si="82"/>
        <v>86</v>
      </c>
      <c r="V46" s="17">
        <f t="shared" si="83"/>
        <v>4.3</v>
      </c>
      <c r="W46" s="24" t="s">
        <v>19</v>
      </c>
      <c r="X46" s="29">
        <v>4</v>
      </c>
    </row>
    <row r="47" spans="2:24" ht="24.95" customHeight="1" x14ac:dyDescent="0.25">
      <c r="B47" s="35"/>
      <c r="C47" s="29" t="s">
        <v>65</v>
      </c>
      <c r="D47" s="30">
        <f t="shared" si="72"/>
        <v>4.45</v>
      </c>
      <c r="E47" s="33"/>
      <c r="F47" s="34"/>
      <c r="G47" s="35"/>
      <c r="H47" s="2"/>
      <c r="I47" s="29">
        <v>9</v>
      </c>
      <c r="J47" s="29">
        <v>11</v>
      </c>
      <c r="K47" s="29">
        <v>0</v>
      </c>
      <c r="L47" s="29">
        <v>0</v>
      </c>
      <c r="M47" s="29">
        <v>0</v>
      </c>
      <c r="N47" s="16"/>
      <c r="O47" s="15">
        <f>I47*5</f>
        <v>45</v>
      </c>
      <c r="P47" s="15">
        <f>J47*4</f>
        <v>44</v>
      </c>
      <c r="Q47" s="29">
        <f>K47*3</f>
        <v>0</v>
      </c>
      <c r="R47" s="29">
        <f>L47*2</f>
        <v>0</v>
      </c>
      <c r="S47" s="29">
        <f t="shared" si="80"/>
        <v>0</v>
      </c>
      <c r="T47" s="29">
        <f t="shared" si="81"/>
        <v>20</v>
      </c>
      <c r="U47" s="29">
        <f t="shared" si="82"/>
        <v>89</v>
      </c>
      <c r="V47" s="17">
        <f t="shared" si="83"/>
        <v>4.45</v>
      </c>
      <c r="W47" s="29" t="s">
        <v>19</v>
      </c>
      <c r="X47" s="29">
        <v>1</v>
      </c>
    </row>
    <row r="48" spans="2:24" ht="24.95" customHeight="1" x14ac:dyDescent="0.25">
      <c r="B48" s="35"/>
      <c r="C48" s="29" t="s">
        <v>66</v>
      </c>
      <c r="D48" s="25">
        <f t="shared" si="72"/>
        <v>4.3</v>
      </c>
      <c r="E48" s="33"/>
      <c r="F48" s="34"/>
      <c r="G48" s="35"/>
      <c r="H48" s="2"/>
      <c r="I48" s="29">
        <v>6</v>
      </c>
      <c r="J48" s="29">
        <v>14</v>
      </c>
      <c r="K48" s="29">
        <v>0</v>
      </c>
      <c r="L48" s="29">
        <v>0</v>
      </c>
      <c r="M48" s="29">
        <v>0</v>
      </c>
      <c r="N48" s="16"/>
      <c r="O48" s="15">
        <f t="shared" si="76"/>
        <v>30</v>
      </c>
      <c r="P48" s="15">
        <f t="shared" si="77"/>
        <v>56</v>
      </c>
      <c r="Q48" s="24">
        <f t="shared" si="78"/>
        <v>0</v>
      </c>
      <c r="R48" s="24">
        <f t="shared" si="79"/>
        <v>0</v>
      </c>
      <c r="S48" s="24">
        <f t="shared" si="80"/>
        <v>0</v>
      </c>
      <c r="T48" s="24">
        <f t="shared" si="81"/>
        <v>20</v>
      </c>
      <c r="U48" s="24">
        <f t="shared" si="82"/>
        <v>86</v>
      </c>
      <c r="V48" s="17">
        <f t="shared" si="83"/>
        <v>4.3</v>
      </c>
      <c r="W48" s="24" t="s">
        <v>19</v>
      </c>
      <c r="X48" s="29">
        <v>4</v>
      </c>
    </row>
    <row r="49" spans="2:24" ht="27" customHeight="1" x14ac:dyDescent="0.25">
      <c r="B49" s="38" t="s">
        <v>33</v>
      </c>
      <c r="C49" s="39"/>
      <c r="D49" s="39"/>
      <c r="E49" s="40"/>
      <c r="F49" s="18">
        <f>SUM(F10,F19,F25,F44,F32,F38)/6</f>
        <v>4.3</v>
      </c>
      <c r="G49" s="20" t="s">
        <v>19</v>
      </c>
      <c r="H49" s="3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40"/>
    </row>
    <row r="50" spans="2:24" x14ac:dyDescent="0.25">
      <c r="I50" s="3"/>
    </row>
    <row r="51" spans="2:24" x14ac:dyDescent="0.25">
      <c r="I51" s="3"/>
    </row>
    <row r="52" spans="2:24" x14ac:dyDescent="0.25">
      <c r="I52" s="3"/>
    </row>
    <row r="53" spans="2:24" x14ac:dyDescent="0.25">
      <c r="I53" s="3"/>
    </row>
    <row r="54" spans="2:24" x14ac:dyDescent="0.25">
      <c r="I54" s="3"/>
    </row>
    <row r="55" spans="2:24" x14ac:dyDescent="0.25">
      <c r="I55" s="3"/>
    </row>
    <row r="56" spans="2:24" x14ac:dyDescent="0.25">
      <c r="I56" s="3"/>
    </row>
    <row r="57" spans="2:24" x14ac:dyDescent="0.25">
      <c r="I57" s="3"/>
    </row>
    <row r="58" spans="2:24" x14ac:dyDescent="0.25">
      <c r="I58" s="3"/>
    </row>
    <row r="59" spans="2:24" x14ac:dyDescent="0.25">
      <c r="I59" s="3"/>
    </row>
    <row r="60" spans="2:24" x14ac:dyDescent="0.25">
      <c r="I60" s="3"/>
    </row>
    <row r="61" spans="2:24" x14ac:dyDescent="0.25">
      <c r="I61" s="3"/>
    </row>
    <row r="62" spans="2:24" x14ac:dyDescent="0.25">
      <c r="I62" s="3"/>
    </row>
    <row r="63" spans="2:24" x14ac:dyDescent="0.25">
      <c r="I63" s="3"/>
    </row>
    <row r="64" spans="2:24" x14ac:dyDescent="0.25">
      <c r="I64" s="3"/>
    </row>
    <row r="65" spans="9:9" x14ac:dyDescent="0.25">
      <c r="I65" s="3"/>
    </row>
    <row r="66" spans="9:9" x14ac:dyDescent="0.25">
      <c r="I66" s="3"/>
    </row>
    <row r="67" spans="9:9" x14ac:dyDescent="0.25">
      <c r="I67" s="3"/>
    </row>
    <row r="68" spans="9:9" x14ac:dyDescent="0.25">
      <c r="I68" s="3"/>
    </row>
    <row r="69" spans="9:9" x14ac:dyDescent="0.25">
      <c r="I69" s="3"/>
    </row>
    <row r="70" spans="9:9" x14ac:dyDescent="0.25">
      <c r="I70" s="3"/>
    </row>
    <row r="71" spans="9:9" x14ac:dyDescent="0.25">
      <c r="I71" s="3"/>
    </row>
    <row r="72" spans="9:9" x14ac:dyDescent="0.25">
      <c r="I72" s="3"/>
    </row>
    <row r="73" spans="9:9" x14ac:dyDescent="0.25">
      <c r="I73" s="3"/>
    </row>
    <row r="74" spans="9:9" x14ac:dyDescent="0.25">
      <c r="I74" s="3"/>
    </row>
    <row r="75" spans="9:9" x14ac:dyDescent="0.25">
      <c r="I75" s="3"/>
    </row>
    <row r="76" spans="9:9" x14ac:dyDescent="0.25">
      <c r="I76" s="3"/>
    </row>
    <row r="77" spans="9:9" x14ac:dyDescent="0.25">
      <c r="I77" s="3"/>
    </row>
    <row r="78" spans="9:9" x14ac:dyDescent="0.25">
      <c r="I78" s="3"/>
    </row>
    <row r="79" spans="9:9" x14ac:dyDescent="0.25">
      <c r="I79" s="3"/>
    </row>
    <row r="80" spans="9:9" x14ac:dyDescent="0.25">
      <c r="I80" s="3"/>
    </row>
    <row r="81" spans="9:14" x14ac:dyDescent="0.25">
      <c r="I81" s="3"/>
    </row>
    <row r="82" spans="9:14" x14ac:dyDescent="0.25">
      <c r="I82" s="3"/>
    </row>
    <row r="83" spans="9:14" x14ac:dyDescent="0.25">
      <c r="I83" s="3"/>
    </row>
    <row r="84" spans="9:14" x14ac:dyDescent="0.25">
      <c r="I84" s="3"/>
    </row>
    <row r="85" spans="9:14" x14ac:dyDescent="0.25">
      <c r="I85" s="3"/>
    </row>
    <row r="86" spans="9:14" x14ac:dyDescent="0.25">
      <c r="I86" s="3"/>
    </row>
    <row r="87" spans="9:14" x14ac:dyDescent="0.25">
      <c r="I87" s="3"/>
    </row>
    <row r="88" spans="9:14" x14ac:dyDescent="0.25">
      <c r="I88" s="3"/>
    </row>
    <row r="89" spans="9:14" x14ac:dyDescent="0.25">
      <c r="I89" s="3"/>
    </row>
    <row r="90" spans="9:14" x14ac:dyDescent="0.25">
      <c r="I90" s="3"/>
    </row>
    <row r="91" spans="9:14" x14ac:dyDescent="0.25">
      <c r="I91" s="3"/>
    </row>
    <row r="92" spans="9:14" x14ac:dyDescent="0.25">
      <c r="I92" s="3"/>
    </row>
    <row r="93" spans="9:14" x14ac:dyDescent="0.25">
      <c r="I93" s="3"/>
      <c r="N93" s="3" t="s">
        <v>67</v>
      </c>
    </row>
    <row r="94" spans="9:14" x14ac:dyDescent="0.25">
      <c r="I94" s="3"/>
    </row>
    <row r="95" spans="9:14" x14ac:dyDescent="0.25">
      <c r="I95" s="3"/>
    </row>
    <row r="96" spans="9:14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  <row r="107" spans="9:9" x14ac:dyDescent="0.25">
      <c r="I107" s="3"/>
    </row>
    <row r="108" spans="9:9" x14ac:dyDescent="0.25">
      <c r="I108" s="3"/>
    </row>
    <row r="109" spans="9:9" x14ac:dyDescent="0.25">
      <c r="I109" s="3"/>
    </row>
    <row r="110" spans="9:9" x14ac:dyDescent="0.25">
      <c r="I110" s="3"/>
    </row>
    <row r="111" spans="9:9" x14ac:dyDescent="0.25">
      <c r="I111" s="3"/>
    </row>
    <row r="112" spans="9:9" x14ac:dyDescent="0.25">
      <c r="I112" s="3"/>
    </row>
    <row r="113" spans="9:9" x14ac:dyDescent="0.25">
      <c r="I113" s="3"/>
    </row>
    <row r="114" spans="9:9" x14ac:dyDescent="0.25">
      <c r="I114" s="3"/>
    </row>
    <row r="115" spans="9:9" x14ac:dyDescent="0.25">
      <c r="I115" s="3"/>
    </row>
    <row r="116" spans="9:9" x14ac:dyDescent="0.25">
      <c r="I116" s="3"/>
    </row>
    <row r="117" spans="9:9" x14ac:dyDescent="0.25">
      <c r="I117" s="3"/>
    </row>
    <row r="118" spans="9:9" x14ac:dyDescent="0.25">
      <c r="I118" s="3"/>
    </row>
    <row r="119" spans="9:9" x14ac:dyDescent="0.25">
      <c r="I119" s="3"/>
    </row>
    <row r="120" spans="9:9" x14ac:dyDescent="0.25">
      <c r="I120" s="3"/>
    </row>
    <row r="121" spans="9:9" x14ac:dyDescent="0.25">
      <c r="I121" s="3"/>
    </row>
    <row r="122" spans="9:9" x14ac:dyDescent="0.25">
      <c r="I122" s="3"/>
    </row>
    <row r="123" spans="9:9" x14ac:dyDescent="0.25">
      <c r="I123" s="3"/>
    </row>
    <row r="124" spans="9:9" x14ac:dyDescent="0.25">
      <c r="I124" s="3"/>
    </row>
    <row r="125" spans="9:9" x14ac:dyDescent="0.25">
      <c r="I125" s="3"/>
    </row>
    <row r="126" spans="9:9" x14ac:dyDescent="0.25">
      <c r="I126" s="3"/>
    </row>
    <row r="127" spans="9:9" x14ac:dyDescent="0.25">
      <c r="I127" s="3"/>
    </row>
    <row r="128" spans="9:9" x14ac:dyDescent="0.25">
      <c r="I128" s="3"/>
    </row>
    <row r="129" spans="9:9" x14ac:dyDescent="0.25">
      <c r="I129" s="3"/>
    </row>
    <row r="130" spans="9:9" x14ac:dyDescent="0.25">
      <c r="I130" s="3"/>
    </row>
    <row r="131" spans="9:9" x14ac:dyDescent="0.25">
      <c r="I131" s="3"/>
    </row>
    <row r="132" spans="9:9" x14ac:dyDescent="0.25">
      <c r="I132" s="3"/>
    </row>
    <row r="133" spans="9:9" x14ac:dyDescent="0.25">
      <c r="I133" s="3"/>
    </row>
    <row r="134" spans="9:9" x14ac:dyDescent="0.25">
      <c r="I134" s="3"/>
    </row>
    <row r="135" spans="9:9" x14ac:dyDescent="0.25">
      <c r="I135" s="3"/>
    </row>
  </sheetData>
  <mergeCells count="40">
    <mergeCell ref="W8:W9"/>
    <mergeCell ref="H49:X49"/>
    <mergeCell ref="B49:E49"/>
    <mergeCell ref="B9:C9"/>
    <mergeCell ref="B24:X24"/>
    <mergeCell ref="B18:X18"/>
    <mergeCell ref="B43:X43"/>
    <mergeCell ref="B25:B30"/>
    <mergeCell ref="E25:E30"/>
    <mergeCell ref="F25:F30"/>
    <mergeCell ref="B32:B36"/>
    <mergeCell ref="E32:E36"/>
    <mergeCell ref="F32:F36"/>
    <mergeCell ref="G32:G36"/>
    <mergeCell ref="B31:X31"/>
    <mergeCell ref="X8:X9"/>
    <mergeCell ref="D3:H3"/>
    <mergeCell ref="D4:H4"/>
    <mergeCell ref="D5:H5"/>
    <mergeCell ref="D6:H6"/>
    <mergeCell ref="T8:T9"/>
    <mergeCell ref="B44:B48"/>
    <mergeCell ref="E44:E48"/>
    <mergeCell ref="F44:F48"/>
    <mergeCell ref="G44:G48"/>
    <mergeCell ref="B10:B17"/>
    <mergeCell ref="B19:B23"/>
    <mergeCell ref="G25:G30"/>
    <mergeCell ref="E19:E23"/>
    <mergeCell ref="F19:F23"/>
    <mergeCell ref="G19:G23"/>
    <mergeCell ref="B38:B42"/>
    <mergeCell ref="E38:E42"/>
    <mergeCell ref="F38:F42"/>
    <mergeCell ref="G38:G42"/>
    <mergeCell ref="V8:V9"/>
    <mergeCell ref="U8:U9"/>
    <mergeCell ref="E10:E17"/>
    <mergeCell ref="F10:F17"/>
    <mergeCell ref="G10:G17"/>
  </mergeCells>
  <pageMargins left="0.31496062992125984" right="0.31496062992125984" top="0.55118110236220474" bottom="0.55118110236220474" header="0.31496062992125984" footer="0.31496062992125984"/>
  <pageSetup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flordelisturtoga1020@gmail.com</cp:lastModifiedBy>
  <cp:lastPrinted>2025-03-26T05:20:13Z</cp:lastPrinted>
  <dcterms:created xsi:type="dcterms:W3CDTF">2023-03-01T08:30:19Z</dcterms:created>
  <dcterms:modified xsi:type="dcterms:W3CDTF">2026-09-11T05:34:47Z</dcterms:modified>
</cp:coreProperties>
</file>