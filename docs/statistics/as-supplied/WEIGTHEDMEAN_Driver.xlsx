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lord\Desktop\WEIGHTED MEAN 2027\"/>
    </mc:Choice>
  </mc:AlternateContent>
  <bookViews>
    <workbookView xWindow="0" yWindow="0" windowWidth="28800" windowHeight="13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1" i="1" l="1"/>
  <c r="S31" i="1"/>
  <c r="R31" i="1"/>
  <c r="Q31" i="1"/>
  <c r="P31" i="1"/>
  <c r="O31" i="1"/>
  <c r="T30" i="1"/>
  <c r="S30" i="1"/>
  <c r="R30" i="1"/>
  <c r="Q30" i="1"/>
  <c r="P30" i="1"/>
  <c r="O30" i="1"/>
  <c r="T29" i="1"/>
  <c r="S29" i="1"/>
  <c r="R29" i="1"/>
  <c r="Q29" i="1"/>
  <c r="P29" i="1"/>
  <c r="O29" i="1"/>
  <c r="T32" i="1"/>
  <c r="S32" i="1"/>
  <c r="R32" i="1"/>
  <c r="Q32" i="1"/>
  <c r="P32" i="1"/>
  <c r="O32" i="1"/>
  <c r="T28" i="1"/>
  <c r="S28" i="1"/>
  <c r="R28" i="1"/>
  <c r="Q28" i="1"/>
  <c r="P28" i="1"/>
  <c r="O28" i="1"/>
  <c r="U30" i="1" l="1"/>
  <c r="V30" i="1" s="1"/>
  <c r="D30" i="1" s="1"/>
  <c r="U31" i="1"/>
  <c r="V31" i="1" s="1"/>
  <c r="D31" i="1" s="1"/>
  <c r="U29" i="1"/>
  <c r="V29" i="1" s="1"/>
  <c r="D29" i="1" s="1"/>
  <c r="U28" i="1"/>
  <c r="V28" i="1" s="1"/>
  <c r="F28" i="1" s="1"/>
  <c r="U32" i="1"/>
  <c r="V32" i="1" s="1"/>
  <c r="D32" i="1" s="1"/>
  <c r="T26" i="1"/>
  <c r="S26" i="1"/>
  <c r="R26" i="1"/>
  <c r="Q26" i="1"/>
  <c r="P26" i="1"/>
  <c r="O26" i="1"/>
  <c r="T25" i="1"/>
  <c r="S25" i="1"/>
  <c r="R25" i="1"/>
  <c r="Q25" i="1"/>
  <c r="P25" i="1"/>
  <c r="O25" i="1"/>
  <c r="T19" i="1"/>
  <c r="S19" i="1"/>
  <c r="R19" i="1"/>
  <c r="Q19" i="1"/>
  <c r="P19" i="1"/>
  <c r="O19" i="1"/>
  <c r="T18" i="1"/>
  <c r="S18" i="1"/>
  <c r="R18" i="1"/>
  <c r="Q18" i="1"/>
  <c r="P18" i="1"/>
  <c r="O18" i="1"/>
  <c r="T17" i="1"/>
  <c r="S17" i="1"/>
  <c r="R17" i="1"/>
  <c r="Q17" i="1"/>
  <c r="P17" i="1"/>
  <c r="O17" i="1"/>
  <c r="T14" i="1"/>
  <c r="S14" i="1"/>
  <c r="R14" i="1"/>
  <c r="Q14" i="1"/>
  <c r="P14" i="1"/>
  <c r="O14" i="1"/>
  <c r="T13" i="1"/>
  <c r="S13" i="1"/>
  <c r="R13" i="1"/>
  <c r="Q13" i="1"/>
  <c r="P13" i="1"/>
  <c r="O13" i="1"/>
  <c r="T12" i="1"/>
  <c r="S12" i="1"/>
  <c r="R12" i="1"/>
  <c r="Q12" i="1"/>
  <c r="P12" i="1"/>
  <c r="O12" i="1"/>
  <c r="D28" i="1" l="1"/>
  <c r="U12" i="1"/>
  <c r="V12" i="1" s="1"/>
  <c r="D12" i="1" s="1"/>
  <c r="U14" i="1"/>
  <c r="V14" i="1" s="1"/>
  <c r="D14" i="1" s="1"/>
  <c r="U17" i="1"/>
  <c r="V17" i="1" s="1"/>
  <c r="D17" i="1" s="1"/>
  <c r="U18" i="1"/>
  <c r="V18" i="1" s="1"/>
  <c r="D18" i="1" s="1"/>
  <c r="U25" i="1"/>
  <c r="V25" i="1" s="1"/>
  <c r="D25" i="1" s="1"/>
  <c r="U26" i="1"/>
  <c r="V26" i="1" s="1"/>
  <c r="D26" i="1" s="1"/>
  <c r="U19" i="1"/>
  <c r="V19" i="1" s="1"/>
  <c r="D19" i="1" s="1"/>
  <c r="U13" i="1"/>
  <c r="V13" i="1" s="1"/>
  <c r="D13" i="1" s="1"/>
  <c r="T23" i="1" l="1"/>
  <c r="S23" i="1"/>
  <c r="R23" i="1"/>
  <c r="Q23" i="1"/>
  <c r="P23" i="1"/>
  <c r="O23" i="1"/>
  <c r="T20" i="1"/>
  <c r="S20" i="1"/>
  <c r="R20" i="1"/>
  <c r="Q20" i="1"/>
  <c r="P20" i="1"/>
  <c r="O20" i="1"/>
  <c r="T11" i="1"/>
  <c r="S11" i="1"/>
  <c r="R11" i="1"/>
  <c r="Q11" i="1"/>
  <c r="P11" i="1"/>
  <c r="O11" i="1"/>
  <c r="U20" i="1" l="1"/>
  <c r="V20" i="1" s="1"/>
  <c r="D20" i="1" s="1"/>
  <c r="U23" i="1"/>
  <c r="V23" i="1" s="1"/>
  <c r="D23" i="1" s="1"/>
  <c r="U11" i="1"/>
  <c r="V11" i="1" s="1"/>
  <c r="D11" i="1" s="1"/>
  <c r="T24" i="1"/>
  <c r="T22" i="1"/>
  <c r="T16" i="1"/>
  <c r="T10" i="1"/>
  <c r="S24" i="1" l="1"/>
  <c r="R24" i="1"/>
  <c r="Q24" i="1"/>
  <c r="P24" i="1"/>
  <c r="O24" i="1"/>
  <c r="S22" i="1"/>
  <c r="R22" i="1"/>
  <c r="Q22" i="1"/>
  <c r="P22" i="1"/>
  <c r="O22" i="1"/>
  <c r="S16" i="1"/>
  <c r="R16" i="1"/>
  <c r="Q16" i="1"/>
  <c r="P16" i="1"/>
  <c r="O16" i="1"/>
  <c r="U24" i="1" l="1"/>
  <c r="V24" i="1" s="1"/>
  <c r="D24" i="1" s="1"/>
  <c r="U22" i="1"/>
  <c r="V22" i="1" s="1"/>
  <c r="F22" i="1" s="1"/>
  <c r="U16" i="1"/>
  <c r="V16" i="1" s="1"/>
  <c r="F16" i="1" s="1"/>
  <c r="D22" i="1" l="1"/>
  <c r="D16" i="1"/>
  <c r="Q10" i="1" l="1"/>
  <c r="P10" i="1"/>
  <c r="O10" i="1"/>
  <c r="S10" i="1" l="1"/>
  <c r="R10" i="1" l="1"/>
  <c r="U10" i="1" s="1"/>
  <c r="V10" i="1" s="1"/>
  <c r="F10" i="1" l="1"/>
  <c r="F34" i="1" s="1"/>
  <c r="D10" i="1"/>
</calcChain>
</file>

<file path=xl/sharedStrings.xml><?xml version="1.0" encoding="utf-8"?>
<sst xmlns="http://schemas.openxmlformats.org/spreadsheetml/2006/main" count="86" uniqueCount="53">
  <si>
    <t>No. of Sub-questions</t>
  </si>
  <si>
    <t>Weighted Mean</t>
  </si>
  <si>
    <t>fx4</t>
  </si>
  <si>
    <t>fx3</t>
  </si>
  <si>
    <t>fx2</t>
  </si>
  <si>
    <t>fx1</t>
  </si>
  <si>
    <t>SA</t>
  </si>
  <si>
    <t>A</t>
  </si>
  <si>
    <t>N</t>
  </si>
  <si>
    <t>DA</t>
  </si>
  <si>
    <t>TOTAL</t>
  </si>
  <si>
    <t>W.MEAN</t>
  </si>
  <si>
    <t>Interpretation</t>
  </si>
  <si>
    <t>4.21 – 5.0 = Strongly Agree</t>
  </si>
  <si>
    <t xml:space="preserve">1.81 – 2.60 = Disagree </t>
  </si>
  <si>
    <t xml:space="preserve">2.61 – 3.40 = Neutral                        </t>
  </si>
  <si>
    <t>SDA</t>
  </si>
  <si>
    <t>1.00 – 1.80 = Strongly Disagree</t>
  </si>
  <si>
    <t>fx5</t>
  </si>
  <si>
    <t>STRONGLY AGREE</t>
  </si>
  <si>
    <t>COMPOSITE TOTAL</t>
  </si>
  <si>
    <t>DESCRIPTION</t>
  </si>
  <si>
    <t>RANK</t>
  </si>
  <si>
    <r>
      <t>3.41 – 4.20 = Agree</t>
    </r>
    <r>
      <rPr>
        <i/>
        <sz val="10.5"/>
        <color rgb="FF000000"/>
        <rFont val="Arial Narrow"/>
        <family val="2"/>
      </rPr>
      <t xml:space="preserve"> </t>
    </r>
  </si>
  <si>
    <t>Total W.MEAN</t>
  </si>
  <si>
    <t xml:space="preserve"> INDICATORS</t>
  </si>
  <si>
    <t>RELIABILITY</t>
  </si>
  <si>
    <t>USABILITY</t>
  </si>
  <si>
    <t>AGREE</t>
  </si>
  <si>
    <t>EFFICIENCY</t>
  </si>
  <si>
    <t>OVERALL WEIGHTED MEAN</t>
  </si>
  <si>
    <t>The system performs all its intended functions correctly.</t>
  </si>
  <si>
    <t>The system maintains accurate and up-to-date information.</t>
  </si>
  <si>
    <t>B</t>
  </si>
  <si>
    <t>The system is easy to navigate and use.</t>
  </si>
  <si>
    <t>The interface is clean and visually understandable.</t>
  </si>
  <si>
    <t>I was able to register and set up my account without difficulty.</t>
  </si>
  <si>
    <t>The instructions and labels in the system are clear and easy to understand.</t>
  </si>
  <si>
    <t>I can comfortably use the system without any technical assistance.</t>
  </si>
  <si>
    <t>The ride request feature works as expected.</t>
  </si>
  <si>
    <t>I receive timely notifications about incoming ride requests.</t>
  </si>
  <si>
    <t>The system accurately shows my availability status to passengers.</t>
  </si>
  <si>
    <t>I can manage and track my rides through the system in real time.</t>
  </si>
  <si>
    <t>FUNCTIONALITY</t>
  </si>
  <si>
    <t>The system reduces my idle time waiting for passengers.</t>
  </si>
  <si>
    <t>Managing ride requests through the system is faster than the manual process.</t>
  </si>
  <si>
    <t>The system responds quickly to my inputs and actions.</t>
  </si>
  <si>
    <t>The system helps me serve more passengers throughout the day.</t>
  </si>
  <si>
    <t>Overall, the system improves my daily work experience as a driver.</t>
  </si>
  <si>
    <t>The system works consistently without errors or crashes.</t>
  </si>
  <si>
    <t>I can depend on the system to deliver ride requests accurately.</t>
  </si>
  <si>
    <t>The system performs well even during busy hours.</t>
  </si>
  <si>
    <t>I trust the system to support my work as a registered driver.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</si>
</sst>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.5"/>
      <color theme="1"/>
      <name val="Arial Narrow"/>
      <family val="2"/>
    </font>
    <font>
      <sz val="10.5"/>
      <color rgb="FF000000"/>
      <name val="Arial Narrow"/>
      <family val="2"/>
    </font>
    <font>
      <i/>
      <sz val="10.5"/>
      <color rgb="FF000000"/>
      <name val="Arial Narrow"/>
      <family val="2"/>
    </font>
    <font>
      <b/>
      <sz val="10.5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120"/>
  <sheetViews>
    <sheetView tabSelected="1" topLeftCell="B10" zoomScale="85" zoomScaleNormal="85" workbookViewId="0">
      <selection activeCell="Y32" sqref="Y32"/>
    </sheetView>
  </sheetViews>
  <sheetFormatPr defaultRowHeight="13.5" x14ac:dyDescent="0.25"/>
  <cols>
    <col min="1" max="1" width="5.140625" style="1" hidden="1" customWidth="1"/>
    <col min="2" max="2" width="16.42578125" style="1" customWidth="1"/>
    <col min="3" max="3" width="33.7109375" style="1" customWidth="1"/>
    <col min="4" max="4" width="8.28515625" style="1" customWidth="1"/>
    <col min="5" max="5" width="7.5703125" style="1" customWidth="1"/>
    <col min="6" max="6" width="8.85546875" style="1" customWidth="1"/>
    <col min="7" max="7" width="11.140625" style="1" customWidth="1"/>
    <col min="8" max="8" width="3.140625" style="3" customWidth="1"/>
    <col min="9" max="9" width="3.7109375" style="2" customWidth="1"/>
    <col min="10" max="10" width="3.7109375" style="1" customWidth="1"/>
    <col min="11" max="12" width="3.28515625" style="1" customWidth="1"/>
    <col min="13" max="13" width="3.5703125" style="1" customWidth="1"/>
    <col min="14" max="14" width="3.140625" style="3" customWidth="1"/>
    <col min="15" max="16" width="3.28515625" style="1" customWidth="1"/>
    <col min="17" max="17" width="3.42578125" style="1" customWidth="1"/>
    <col min="18" max="18" width="3.28515625" style="1" customWidth="1"/>
    <col min="19" max="19" width="4.7109375" style="1" customWidth="1"/>
    <col min="20" max="20" width="4.5703125" style="1" customWidth="1"/>
    <col min="21" max="21" width="8.140625" style="1" customWidth="1"/>
    <col min="22" max="22" width="7.5703125" style="1" customWidth="1"/>
    <col min="23" max="23" width="12.42578125" style="1" customWidth="1"/>
    <col min="24" max="24" width="6.85546875" style="1" customWidth="1"/>
    <col min="25" max="16384" width="9.140625" style="1"/>
  </cols>
  <sheetData>
    <row r="3" spans="2:24" x14ac:dyDescent="0.25">
      <c r="D3" s="48" t="s">
        <v>13</v>
      </c>
      <c r="E3" s="48"/>
      <c r="F3" s="48"/>
      <c r="G3" s="48"/>
      <c r="H3" s="48"/>
    </row>
    <row r="4" spans="2:24" x14ac:dyDescent="0.25">
      <c r="D4" s="48" t="s">
        <v>23</v>
      </c>
      <c r="E4" s="48"/>
      <c r="F4" s="48"/>
      <c r="G4" s="48"/>
      <c r="H4" s="48"/>
      <c r="I4" s="3"/>
    </row>
    <row r="5" spans="2:24" x14ac:dyDescent="0.25">
      <c r="D5" s="48" t="s">
        <v>15</v>
      </c>
      <c r="E5" s="48"/>
      <c r="F5" s="48"/>
      <c r="G5" s="48"/>
      <c r="H5" s="48"/>
      <c r="I5" s="3"/>
    </row>
    <row r="6" spans="2:24" x14ac:dyDescent="0.25">
      <c r="D6" s="48" t="s">
        <v>14</v>
      </c>
      <c r="E6" s="48"/>
      <c r="F6" s="48"/>
      <c r="G6" s="48"/>
      <c r="H6" s="48"/>
      <c r="I6" s="3"/>
    </row>
    <row r="7" spans="2:24" x14ac:dyDescent="0.25">
      <c r="D7" s="4" t="s">
        <v>17</v>
      </c>
      <c r="E7" s="4"/>
      <c r="F7" s="4"/>
      <c r="G7" s="4"/>
      <c r="H7" s="5"/>
      <c r="I7" s="6"/>
    </row>
    <row r="8" spans="2:24" x14ac:dyDescent="0.25">
      <c r="I8" s="7" t="s">
        <v>6</v>
      </c>
      <c r="J8" s="7" t="s">
        <v>7</v>
      </c>
      <c r="K8" s="7" t="s">
        <v>8</v>
      </c>
      <c r="L8" s="8" t="s">
        <v>9</v>
      </c>
      <c r="M8" s="8" t="s">
        <v>16</v>
      </c>
      <c r="O8" s="7" t="s">
        <v>6</v>
      </c>
      <c r="P8" s="7" t="s">
        <v>7</v>
      </c>
      <c r="Q8" s="7" t="s">
        <v>8</v>
      </c>
      <c r="R8" s="8" t="s">
        <v>9</v>
      </c>
      <c r="S8" s="8" t="s">
        <v>16</v>
      </c>
      <c r="T8" s="34" t="s">
        <v>10</v>
      </c>
      <c r="U8" s="34" t="s">
        <v>20</v>
      </c>
      <c r="V8" s="34" t="s">
        <v>11</v>
      </c>
      <c r="W8" s="33" t="s">
        <v>21</v>
      </c>
      <c r="X8" s="46" t="s">
        <v>22</v>
      </c>
    </row>
    <row r="9" spans="2:24" ht="37.5" customHeight="1" x14ac:dyDescent="0.25">
      <c r="B9" s="38" t="s">
        <v>25</v>
      </c>
      <c r="C9" s="39"/>
      <c r="D9" s="9" t="s">
        <v>24</v>
      </c>
      <c r="E9" s="9" t="s">
        <v>0</v>
      </c>
      <c r="F9" s="9" t="s">
        <v>1</v>
      </c>
      <c r="G9" s="10" t="s">
        <v>12</v>
      </c>
      <c r="I9" s="11" t="s">
        <v>18</v>
      </c>
      <c r="J9" s="11" t="s">
        <v>2</v>
      </c>
      <c r="K9" s="11" t="s">
        <v>3</v>
      </c>
      <c r="L9" s="12" t="s">
        <v>4</v>
      </c>
      <c r="M9" s="12" t="s">
        <v>5</v>
      </c>
      <c r="O9" s="11" t="s">
        <v>18</v>
      </c>
      <c r="P9" s="11" t="s">
        <v>2</v>
      </c>
      <c r="Q9" s="11" t="s">
        <v>3</v>
      </c>
      <c r="R9" s="12" t="s">
        <v>4</v>
      </c>
      <c r="S9" s="12" t="s">
        <v>5</v>
      </c>
      <c r="T9" s="49"/>
      <c r="U9" s="49"/>
      <c r="V9" s="49"/>
      <c r="W9" s="34"/>
      <c r="X9" s="47"/>
    </row>
    <row r="10" spans="2:24" ht="33.75" customHeight="1" x14ac:dyDescent="0.25">
      <c r="B10" s="43" t="s">
        <v>43</v>
      </c>
      <c r="C10" s="29" t="s">
        <v>39</v>
      </c>
      <c r="D10" s="14">
        <f>V10</f>
        <v>4.3</v>
      </c>
      <c r="E10" s="44">
        <v>5</v>
      </c>
      <c r="F10" s="45">
        <f>SUM(V10:V14)/5</f>
        <v>4.2799999999999994</v>
      </c>
      <c r="G10" s="43" t="s">
        <v>19</v>
      </c>
      <c r="H10" s="2"/>
      <c r="I10" s="29">
        <v>6</v>
      </c>
      <c r="J10" s="29">
        <v>14</v>
      </c>
      <c r="K10" s="29">
        <v>0</v>
      </c>
      <c r="L10" s="29">
        <v>0</v>
      </c>
      <c r="M10" s="29">
        <v>0</v>
      </c>
      <c r="N10" s="16"/>
      <c r="O10" s="15">
        <f>I10*5</f>
        <v>30</v>
      </c>
      <c r="P10" s="15">
        <f>J10*4</f>
        <v>56</v>
      </c>
      <c r="Q10" s="13">
        <f>K10*3</f>
        <v>0</v>
      </c>
      <c r="R10" s="13">
        <f>L10*2</f>
        <v>0</v>
      </c>
      <c r="S10" s="13">
        <f t="shared" ref="S10" si="0">M10*1</f>
        <v>0</v>
      </c>
      <c r="T10" s="13">
        <f>SUM(I10:M10)</f>
        <v>20</v>
      </c>
      <c r="U10" s="13">
        <f>SUM(O10:S10)</f>
        <v>86</v>
      </c>
      <c r="V10" s="17">
        <f>U10/T10</f>
        <v>4.3</v>
      </c>
      <c r="W10" s="29" t="s">
        <v>19</v>
      </c>
      <c r="X10" s="13">
        <v>2.5</v>
      </c>
    </row>
    <row r="11" spans="2:24" ht="33" customHeight="1" x14ac:dyDescent="0.25">
      <c r="B11" s="43"/>
      <c r="C11" s="29" t="s">
        <v>40</v>
      </c>
      <c r="D11" s="22">
        <f t="shared" ref="D11:D14" si="1">V11</f>
        <v>4.3499999999999996</v>
      </c>
      <c r="E11" s="44"/>
      <c r="F11" s="45"/>
      <c r="G11" s="43"/>
      <c r="H11" s="2"/>
      <c r="I11" s="29">
        <v>8</v>
      </c>
      <c r="J11" s="29">
        <v>11</v>
      </c>
      <c r="K11" s="29">
        <v>1</v>
      </c>
      <c r="L11" s="29">
        <v>0</v>
      </c>
      <c r="M11" s="29">
        <v>0</v>
      </c>
      <c r="N11" s="16"/>
      <c r="O11" s="15">
        <f t="shared" ref="O11" si="2">I11*5</f>
        <v>40</v>
      </c>
      <c r="P11" s="15">
        <f t="shared" ref="P11" si="3">J11*4</f>
        <v>44</v>
      </c>
      <c r="Q11" s="13">
        <f t="shared" ref="Q11" si="4">K11*3</f>
        <v>3</v>
      </c>
      <c r="R11" s="13">
        <f t="shared" ref="R11" si="5">L11*2</f>
        <v>0</v>
      </c>
      <c r="S11" s="13">
        <f t="shared" ref="S11" si="6">M11*1</f>
        <v>0</v>
      </c>
      <c r="T11" s="13">
        <f t="shared" ref="T11" si="7">SUM(I11:M11)</f>
        <v>20</v>
      </c>
      <c r="U11" s="13">
        <f t="shared" ref="U11" si="8">SUM(O11:S11)</f>
        <v>87</v>
      </c>
      <c r="V11" s="17">
        <f t="shared" ref="V11" si="9">U11/T11</f>
        <v>4.3499999999999996</v>
      </c>
      <c r="W11" s="29" t="s">
        <v>19</v>
      </c>
      <c r="X11" s="13">
        <v>1</v>
      </c>
    </row>
    <row r="12" spans="2:24" ht="29.25" customHeight="1" x14ac:dyDescent="0.25">
      <c r="B12" s="43"/>
      <c r="C12" s="29" t="s">
        <v>41</v>
      </c>
      <c r="D12" s="22">
        <f t="shared" si="1"/>
        <v>4.25</v>
      </c>
      <c r="E12" s="44"/>
      <c r="F12" s="45"/>
      <c r="G12" s="43"/>
      <c r="H12" s="2"/>
      <c r="I12" s="29">
        <v>5</v>
      </c>
      <c r="J12" s="29">
        <v>15</v>
      </c>
      <c r="K12" s="29">
        <v>0</v>
      </c>
      <c r="L12" s="29">
        <v>0</v>
      </c>
      <c r="M12" s="29">
        <v>0</v>
      </c>
      <c r="N12" s="16"/>
      <c r="O12" s="15">
        <f t="shared" ref="O12:O14" si="10">I12*5</f>
        <v>25</v>
      </c>
      <c r="P12" s="15">
        <f t="shared" ref="P12:P14" si="11">J12*4</f>
        <v>60</v>
      </c>
      <c r="Q12" s="21">
        <f t="shared" ref="Q12:Q14" si="12">K12*3</f>
        <v>0</v>
      </c>
      <c r="R12" s="21">
        <f t="shared" ref="R12:R14" si="13">L12*2</f>
        <v>0</v>
      </c>
      <c r="S12" s="21">
        <f t="shared" ref="S12:S14" si="14">M12*1</f>
        <v>0</v>
      </c>
      <c r="T12" s="21">
        <f t="shared" ref="T12:T14" si="15">SUM(I12:M12)</f>
        <v>20</v>
      </c>
      <c r="U12" s="21">
        <f t="shared" ref="U12:U14" si="16">SUM(O12:S12)</f>
        <v>85</v>
      </c>
      <c r="V12" s="17">
        <f t="shared" ref="V12:V14" si="17">U12/T12</f>
        <v>4.25</v>
      </c>
      <c r="W12" s="21" t="s">
        <v>19</v>
      </c>
      <c r="X12" s="21">
        <v>4</v>
      </c>
    </row>
    <row r="13" spans="2:24" ht="26.25" customHeight="1" x14ac:dyDescent="0.25">
      <c r="B13" s="43"/>
      <c r="C13" s="29" t="s">
        <v>42</v>
      </c>
      <c r="D13" s="22">
        <f t="shared" si="1"/>
        <v>4.2</v>
      </c>
      <c r="E13" s="44"/>
      <c r="F13" s="45"/>
      <c r="G13" s="43"/>
      <c r="H13" s="2"/>
      <c r="I13" s="29">
        <v>5</v>
      </c>
      <c r="J13" s="29">
        <v>14</v>
      </c>
      <c r="K13" s="29">
        <v>1</v>
      </c>
      <c r="L13" s="29">
        <v>0</v>
      </c>
      <c r="M13" s="29">
        <v>0</v>
      </c>
      <c r="N13" s="16"/>
      <c r="O13" s="15">
        <f t="shared" si="10"/>
        <v>25</v>
      </c>
      <c r="P13" s="15">
        <f t="shared" si="11"/>
        <v>56</v>
      </c>
      <c r="Q13" s="21">
        <f t="shared" si="12"/>
        <v>3</v>
      </c>
      <c r="R13" s="21">
        <f t="shared" si="13"/>
        <v>0</v>
      </c>
      <c r="S13" s="21">
        <f t="shared" si="14"/>
        <v>0</v>
      </c>
      <c r="T13" s="21">
        <f t="shared" si="15"/>
        <v>20</v>
      </c>
      <c r="U13" s="21">
        <f t="shared" si="16"/>
        <v>84</v>
      </c>
      <c r="V13" s="17">
        <f t="shared" si="17"/>
        <v>4.2</v>
      </c>
      <c r="W13" s="28" t="s">
        <v>28</v>
      </c>
      <c r="X13" s="21">
        <v>5</v>
      </c>
    </row>
    <row r="14" spans="2:24" ht="27.75" customHeight="1" x14ac:dyDescent="0.25">
      <c r="B14" s="43"/>
      <c r="C14" s="29" t="s">
        <v>31</v>
      </c>
      <c r="D14" s="22">
        <f t="shared" si="1"/>
        <v>4.3</v>
      </c>
      <c r="E14" s="44"/>
      <c r="F14" s="45"/>
      <c r="G14" s="43"/>
      <c r="H14" s="2"/>
      <c r="I14" s="29">
        <v>8</v>
      </c>
      <c r="J14" s="29">
        <v>10</v>
      </c>
      <c r="K14" s="29">
        <v>2</v>
      </c>
      <c r="L14" s="29">
        <v>0</v>
      </c>
      <c r="M14" s="29">
        <v>0</v>
      </c>
      <c r="N14" s="16"/>
      <c r="O14" s="15">
        <f t="shared" si="10"/>
        <v>40</v>
      </c>
      <c r="P14" s="15">
        <f t="shared" si="11"/>
        <v>40</v>
      </c>
      <c r="Q14" s="21">
        <f t="shared" si="12"/>
        <v>6</v>
      </c>
      <c r="R14" s="21">
        <f t="shared" si="13"/>
        <v>0</v>
      </c>
      <c r="S14" s="21">
        <f t="shared" si="14"/>
        <v>0</v>
      </c>
      <c r="T14" s="21">
        <f t="shared" si="15"/>
        <v>20</v>
      </c>
      <c r="U14" s="21">
        <f t="shared" si="16"/>
        <v>86</v>
      </c>
      <c r="V14" s="17">
        <f t="shared" si="17"/>
        <v>4.3</v>
      </c>
      <c r="W14" s="21" t="s">
        <v>19</v>
      </c>
      <c r="X14" s="21">
        <v>2.5</v>
      </c>
    </row>
    <row r="15" spans="2:24" ht="9.75" customHeight="1" x14ac:dyDescent="0.2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/>
    </row>
    <row r="16" spans="2:24" ht="24.95" customHeight="1" x14ac:dyDescent="0.25">
      <c r="B16" s="43" t="s">
        <v>26</v>
      </c>
      <c r="C16" s="29" t="s">
        <v>49</v>
      </c>
      <c r="D16" s="14">
        <f t="shared" ref="D16:D20" si="18">V16</f>
        <v>4.5</v>
      </c>
      <c r="E16" s="44">
        <v>5</v>
      </c>
      <c r="F16" s="45">
        <f>SUM(V16:V20)/5</f>
        <v>4.38</v>
      </c>
      <c r="G16" s="43" t="s">
        <v>19</v>
      </c>
      <c r="H16" s="2"/>
      <c r="I16" s="29">
        <v>10</v>
      </c>
      <c r="J16" s="29">
        <v>10</v>
      </c>
      <c r="K16" s="29">
        <v>0</v>
      </c>
      <c r="L16" s="29">
        <v>0</v>
      </c>
      <c r="M16" s="29">
        <v>0</v>
      </c>
      <c r="N16" s="16"/>
      <c r="O16" s="15">
        <f>I16*5</f>
        <v>50</v>
      </c>
      <c r="P16" s="15">
        <f>J16*4</f>
        <v>40</v>
      </c>
      <c r="Q16" s="13">
        <f>K16*3</f>
        <v>0</v>
      </c>
      <c r="R16" s="13">
        <f>L16*2</f>
        <v>0</v>
      </c>
      <c r="S16" s="13">
        <f t="shared" ref="S16:S20" si="19">M16*1</f>
        <v>0</v>
      </c>
      <c r="T16" s="13">
        <f t="shared" ref="T16:T24" si="20">SUM(I16:M16)</f>
        <v>20</v>
      </c>
      <c r="U16" s="13">
        <f t="shared" ref="U16:U20" si="21">SUM(O16:S16)</f>
        <v>90</v>
      </c>
      <c r="V16" s="17">
        <f t="shared" ref="V16:V20" si="22">U16/T16</f>
        <v>4.5</v>
      </c>
      <c r="W16" s="19" t="s">
        <v>19</v>
      </c>
      <c r="X16" s="13">
        <v>1</v>
      </c>
    </row>
    <row r="17" spans="2:24" ht="24.95" customHeight="1" x14ac:dyDescent="0.25">
      <c r="B17" s="43"/>
      <c r="C17" s="29" t="s">
        <v>50</v>
      </c>
      <c r="D17" s="22">
        <f t="shared" si="18"/>
        <v>4.3499999999999996</v>
      </c>
      <c r="E17" s="44"/>
      <c r="F17" s="45"/>
      <c r="G17" s="43"/>
      <c r="H17" s="2"/>
      <c r="I17" s="29">
        <v>7</v>
      </c>
      <c r="J17" s="29">
        <v>13</v>
      </c>
      <c r="K17" s="29">
        <v>0</v>
      </c>
      <c r="L17" s="29">
        <v>0</v>
      </c>
      <c r="M17" s="29">
        <v>0</v>
      </c>
      <c r="N17" s="16"/>
      <c r="O17" s="15">
        <f t="shared" ref="O17:O19" si="23">I17*5</f>
        <v>35</v>
      </c>
      <c r="P17" s="15">
        <f t="shared" ref="P17:P19" si="24">J17*4</f>
        <v>52</v>
      </c>
      <c r="Q17" s="21">
        <f t="shared" ref="Q17:Q19" si="25">K17*3</f>
        <v>0</v>
      </c>
      <c r="R17" s="21">
        <f t="shared" ref="R17:R19" si="26">L17*2</f>
        <v>0</v>
      </c>
      <c r="S17" s="21">
        <f t="shared" ref="S17:S19" si="27">M17*1</f>
        <v>0</v>
      </c>
      <c r="T17" s="21">
        <f t="shared" ref="T17:T19" si="28">SUM(I17:M17)</f>
        <v>20</v>
      </c>
      <c r="U17" s="21">
        <f t="shared" ref="U17:U19" si="29">SUM(O17:S17)</f>
        <v>87</v>
      </c>
      <c r="V17" s="17">
        <f t="shared" ref="V17:V19" si="30">U17/T17</f>
        <v>4.3499999999999996</v>
      </c>
      <c r="W17" s="29" t="s">
        <v>19</v>
      </c>
      <c r="X17" s="21">
        <v>3</v>
      </c>
    </row>
    <row r="18" spans="2:24" ht="24.95" customHeight="1" x14ac:dyDescent="0.25">
      <c r="B18" s="43"/>
      <c r="C18" s="29" t="s">
        <v>32</v>
      </c>
      <c r="D18" s="22">
        <f t="shared" si="18"/>
        <v>4.3</v>
      </c>
      <c r="E18" s="44"/>
      <c r="F18" s="45"/>
      <c r="G18" s="43"/>
      <c r="H18" s="2"/>
      <c r="I18" s="29">
        <v>6</v>
      </c>
      <c r="J18" s="29">
        <v>14</v>
      </c>
      <c r="K18" s="29">
        <v>0</v>
      </c>
      <c r="L18" s="29">
        <v>0</v>
      </c>
      <c r="M18" s="29">
        <v>0</v>
      </c>
      <c r="N18" s="16"/>
      <c r="O18" s="15">
        <f t="shared" si="23"/>
        <v>30</v>
      </c>
      <c r="P18" s="15">
        <f t="shared" si="24"/>
        <v>56</v>
      </c>
      <c r="Q18" s="21">
        <f t="shared" si="25"/>
        <v>0</v>
      </c>
      <c r="R18" s="21">
        <f t="shared" si="26"/>
        <v>0</v>
      </c>
      <c r="S18" s="21">
        <f t="shared" si="27"/>
        <v>0</v>
      </c>
      <c r="T18" s="21">
        <f t="shared" si="28"/>
        <v>20</v>
      </c>
      <c r="U18" s="21">
        <f t="shared" si="29"/>
        <v>86</v>
      </c>
      <c r="V18" s="17">
        <f t="shared" si="30"/>
        <v>4.3</v>
      </c>
      <c r="W18" s="21" t="s">
        <v>19</v>
      </c>
      <c r="X18" s="21">
        <v>4.5</v>
      </c>
    </row>
    <row r="19" spans="2:24" ht="24.95" customHeight="1" x14ac:dyDescent="0.25">
      <c r="B19" s="43"/>
      <c r="C19" s="29" t="s">
        <v>51</v>
      </c>
      <c r="D19" s="22">
        <f t="shared" si="18"/>
        <v>4.3</v>
      </c>
      <c r="E19" s="44"/>
      <c r="F19" s="45"/>
      <c r="G19" s="43"/>
      <c r="H19" s="2"/>
      <c r="I19" s="29">
        <v>7</v>
      </c>
      <c r="J19" s="29">
        <v>12</v>
      </c>
      <c r="K19" s="29">
        <v>1</v>
      </c>
      <c r="L19" s="29">
        <v>0</v>
      </c>
      <c r="M19" s="29">
        <v>0</v>
      </c>
      <c r="N19" s="16"/>
      <c r="O19" s="15">
        <f t="shared" si="23"/>
        <v>35</v>
      </c>
      <c r="P19" s="15">
        <f t="shared" si="24"/>
        <v>48</v>
      </c>
      <c r="Q19" s="21">
        <f t="shared" si="25"/>
        <v>3</v>
      </c>
      <c r="R19" s="21">
        <f t="shared" si="26"/>
        <v>0</v>
      </c>
      <c r="S19" s="21">
        <f t="shared" si="27"/>
        <v>0</v>
      </c>
      <c r="T19" s="21">
        <f t="shared" si="28"/>
        <v>20</v>
      </c>
      <c r="U19" s="21">
        <f t="shared" si="29"/>
        <v>86</v>
      </c>
      <c r="V19" s="17">
        <f t="shared" si="30"/>
        <v>4.3</v>
      </c>
      <c r="W19" s="29" t="s">
        <v>19</v>
      </c>
      <c r="X19" s="21">
        <v>4.5</v>
      </c>
    </row>
    <row r="20" spans="2:24" ht="24.95" customHeight="1" x14ac:dyDescent="0.25">
      <c r="B20" s="43"/>
      <c r="C20" s="29" t="s">
        <v>52</v>
      </c>
      <c r="D20" s="22">
        <f t="shared" si="18"/>
        <v>4.45</v>
      </c>
      <c r="E20" s="44"/>
      <c r="F20" s="45"/>
      <c r="G20" s="43"/>
      <c r="H20" s="2"/>
      <c r="I20" s="29">
        <v>9</v>
      </c>
      <c r="J20" s="29">
        <v>11</v>
      </c>
      <c r="K20" s="29">
        <v>0</v>
      </c>
      <c r="L20" s="29">
        <v>0</v>
      </c>
      <c r="M20" s="29">
        <v>0</v>
      </c>
      <c r="N20" s="16"/>
      <c r="O20" s="15">
        <f t="shared" ref="O20" si="31">I20*5</f>
        <v>45</v>
      </c>
      <c r="P20" s="15">
        <f t="shared" ref="P20" si="32">J20*4</f>
        <v>44</v>
      </c>
      <c r="Q20" s="13">
        <f t="shared" ref="Q20" si="33">K20*3</f>
        <v>0</v>
      </c>
      <c r="R20" s="13">
        <f t="shared" ref="R20" si="34">L20*2</f>
        <v>0</v>
      </c>
      <c r="S20" s="13">
        <f t="shared" si="19"/>
        <v>0</v>
      </c>
      <c r="T20" s="13">
        <f t="shared" si="20"/>
        <v>20</v>
      </c>
      <c r="U20" s="13">
        <f t="shared" si="21"/>
        <v>89</v>
      </c>
      <c r="V20" s="17">
        <f t="shared" si="22"/>
        <v>4.45</v>
      </c>
      <c r="W20" s="19" t="s">
        <v>19</v>
      </c>
      <c r="X20" s="13">
        <v>2</v>
      </c>
    </row>
    <row r="21" spans="2:24" ht="9" customHeight="1" x14ac:dyDescent="0.25"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/>
    </row>
    <row r="22" spans="2:24" ht="24.95" customHeight="1" x14ac:dyDescent="0.25">
      <c r="B22" s="43" t="s">
        <v>27</v>
      </c>
      <c r="C22" s="29" t="s">
        <v>34</v>
      </c>
      <c r="D22" s="22">
        <f t="shared" ref="D22:D32" si="35">V22</f>
        <v>4.3499999999999996</v>
      </c>
      <c r="E22" s="44">
        <v>5</v>
      </c>
      <c r="F22" s="45">
        <f>SUM(V22:V26)/5</f>
        <v>4.2</v>
      </c>
      <c r="G22" s="43" t="s">
        <v>19</v>
      </c>
      <c r="H22" s="2"/>
      <c r="I22" s="29">
        <v>8</v>
      </c>
      <c r="J22" s="29">
        <v>11</v>
      </c>
      <c r="K22" s="29">
        <v>1</v>
      </c>
      <c r="L22" s="29">
        <v>0</v>
      </c>
      <c r="M22" s="29">
        <v>0</v>
      </c>
      <c r="N22" s="16"/>
      <c r="O22" s="15">
        <f>I22*5</f>
        <v>40</v>
      </c>
      <c r="P22" s="15">
        <f>J22*4</f>
        <v>44</v>
      </c>
      <c r="Q22" s="13">
        <f>K22*3</f>
        <v>3</v>
      </c>
      <c r="R22" s="13">
        <f>L22*2</f>
        <v>0</v>
      </c>
      <c r="S22" s="13">
        <f t="shared" ref="S22:S24" si="36">M22*1</f>
        <v>0</v>
      </c>
      <c r="T22" s="13">
        <f t="shared" si="20"/>
        <v>20</v>
      </c>
      <c r="U22" s="13">
        <f t="shared" ref="U22:U24" si="37">SUM(O22:S22)</f>
        <v>87</v>
      </c>
      <c r="V22" s="17">
        <f t="shared" ref="V22:V28" si="38">U22/T22</f>
        <v>4.3499999999999996</v>
      </c>
      <c r="W22" s="29" t="s">
        <v>19</v>
      </c>
      <c r="X22" s="28">
        <v>1</v>
      </c>
    </row>
    <row r="23" spans="2:24" ht="24.95" customHeight="1" x14ac:dyDescent="0.25">
      <c r="B23" s="43"/>
      <c r="C23" s="29" t="s">
        <v>35</v>
      </c>
      <c r="D23" s="22">
        <f t="shared" si="35"/>
        <v>4.0999999999999996</v>
      </c>
      <c r="E23" s="44"/>
      <c r="F23" s="45"/>
      <c r="G23" s="43"/>
      <c r="H23" s="2"/>
      <c r="I23" s="29">
        <v>3</v>
      </c>
      <c r="J23" s="29">
        <v>16</v>
      </c>
      <c r="K23" s="29">
        <v>1</v>
      </c>
      <c r="L23" s="29">
        <v>0</v>
      </c>
      <c r="M23" s="29">
        <v>0</v>
      </c>
      <c r="N23" s="16"/>
      <c r="O23" s="15">
        <f>I23*5</f>
        <v>15</v>
      </c>
      <c r="P23" s="15">
        <f>J23*4</f>
        <v>64</v>
      </c>
      <c r="Q23" s="13">
        <f>K23*3</f>
        <v>3</v>
      </c>
      <c r="R23" s="13">
        <f>L23*2</f>
        <v>0</v>
      </c>
      <c r="S23" s="13">
        <f t="shared" si="36"/>
        <v>0</v>
      </c>
      <c r="T23" s="13">
        <f>SUM(I23:M23)</f>
        <v>20</v>
      </c>
      <c r="U23" s="13">
        <f>SUM(O23:S23)</f>
        <v>82</v>
      </c>
      <c r="V23" s="17">
        <f>U23/T23</f>
        <v>4.0999999999999996</v>
      </c>
      <c r="W23" s="23" t="s">
        <v>28</v>
      </c>
      <c r="X23" s="29">
        <v>4.5</v>
      </c>
    </row>
    <row r="24" spans="2:24" ht="24.95" customHeight="1" x14ac:dyDescent="0.25">
      <c r="B24" s="43"/>
      <c r="C24" s="29" t="s">
        <v>36</v>
      </c>
      <c r="D24" s="14">
        <f t="shared" si="35"/>
        <v>4.3</v>
      </c>
      <c r="E24" s="44"/>
      <c r="F24" s="45"/>
      <c r="G24" s="43"/>
      <c r="H24" s="2"/>
      <c r="I24" s="29">
        <v>6</v>
      </c>
      <c r="J24" s="29">
        <v>14</v>
      </c>
      <c r="K24" s="29">
        <v>0</v>
      </c>
      <c r="L24" s="29">
        <v>0</v>
      </c>
      <c r="M24" s="29">
        <v>0</v>
      </c>
      <c r="N24" s="16"/>
      <c r="O24" s="15">
        <f>I24*5</f>
        <v>30</v>
      </c>
      <c r="P24" s="15">
        <f>J24*4</f>
        <v>56</v>
      </c>
      <c r="Q24" s="13">
        <f>K24*3</f>
        <v>0</v>
      </c>
      <c r="R24" s="13">
        <f>L24*2</f>
        <v>0</v>
      </c>
      <c r="S24" s="13">
        <f t="shared" si="36"/>
        <v>0</v>
      </c>
      <c r="T24" s="13">
        <f t="shared" si="20"/>
        <v>20</v>
      </c>
      <c r="U24" s="13">
        <f t="shared" si="37"/>
        <v>86</v>
      </c>
      <c r="V24" s="17">
        <f t="shared" si="38"/>
        <v>4.3</v>
      </c>
      <c r="W24" s="19" t="s">
        <v>19</v>
      </c>
      <c r="X24" s="28">
        <v>2</v>
      </c>
    </row>
    <row r="25" spans="2:24" ht="24.95" customHeight="1" x14ac:dyDescent="0.25">
      <c r="B25" s="43"/>
      <c r="C25" s="29" t="s">
        <v>37</v>
      </c>
      <c r="D25" s="22">
        <f t="shared" si="35"/>
        <v>4.0999999999999996</v>
      </c>
      <c r="E25" s="44"/>
      <c r="F25" s="45"/>
      <c r="G25" s="43"/>
      <c r="H25" s="2"/>
      <c r="I25" s="29">
        <v>3</v>
      </c>
      <c r="J25" s="29">
        <v>16</v>
      </c>
      <c r="K25" s="29">
        <v>1</v>
      </c>
      <c r="L25" s="29">
        <v>0</v>
      </c>
      <c r="M25" s="29">
        <v>0</v>
      </c>
      <c r="N25" s="16"/>
      <c r="O25" s="15">
        <f t="shared" ref="O25:O26" si="39">I25*5</f>
        <v>15</v>
      </c>
      <c r="P25" s="15">
        <f t="shared" ref="P25:P26" si="40">J25*4</f>
        <v>64</v>
      </c>
      <c r="Q25" s="21">
        <f t="shared" ref="Q25:Q26" si="41">K25*3</f>
        <v>3</v>
      </c>
      <c r="R25" s="21">
        <f t="shared" ref="R25:R26" si="42">L25*2</f>
        <v>0</v>
      </c>
      <c r="S25" s="21">
        <f t="shared" ref="S25:S26" si="43">M25*1</f>
        <v>0</v>
      </c>
      <c r="T25" s="21">
        <f t="shared" ref="T25:T26" si="44">SUM(I25:M25)</f>
        <v>20</v>
      </c>
      <c r="U25" s="21">
        <f t="shared" ref="U25:U26" si="45">SUM(O25:S25)</f>
        <v>82</v>
      </c>
      <c r="V25" s="17">
        <f t="shared" ref="V25:V26" si="46">U25/T25</f>
        <v>4.0999999999999996</v>
      </c>
      <c r="W25" s="23" t="s">
        <v>28</v>
      </c>
      <c r="X25" s="29">
        <v>4.5</v>
      </c>
    </row>
    <row r="26" spans="2:24" ht="24.95" customHeight="1" x14ac:dyDescent="0.25">
      <c r="B26" s="43"/>
      <c r="C26" s="29" t="s">
        <v>38</v>
      </c>
      <c r="D26" s="22">
        <f t="shared" si="35"/>
        <v>4.1500000000000004</v>
      </c>
      <c r="E26" s="44"/>
      <c r="F26" s="45"/>
      <c r="G26" s="43"/>
      <c r="H26" s="2"/>
      <c r="I26" s="29">
        <v>5</v>
      </c>
      <c r="J26" s="29">
        <v>13</v>
      </c>
      <c r="K26" s="29">
        <v>2</v>
      </c>
      <c r="L26" s="29">
        <v>0</v>
      </c>
      <c r="M26" s="29">
        <v>0</v>
      </c>
      <c r="N26" s="16"/>
      <c r="O26" s="15">
        <f t="shared" si="39"/>
        <v>25</v>
      </c>
      <c r="P26" s="15">
        <f t="shared" si="40"/>
        <v>52</v>
      </c>
      <c r="Q26" s="21">
        <f t="shared" si="41"/>
        <v>6</v>
      </c>
      <c r="R26" s="21">
        <f t="shared" si="42"/>
        <v>0</v>
      </c>
      <c r="S26" s="21">
        <f t="shared" si="43"/>
        <v>0</v>
      </c>
      <c r="T26" s="21">
        <f t="shared" si="44"/>
        <v>20</v>
      </c>
      <c r="U26" s="21">
        <f t="shared" si="45"/>
        <v>83</v>
      </c>
      <c r="V26" s="17">
        <f t="shared" si="46"/>
        <v>4.1500000000000004</v>
      </c>
      <c r="W26" s="21" t="s">
        <v>19</v>
      </c>
      <c r="X26" s="28">
        <v>3</v>
      </c>
    </row>
    <row r="27" spans="2:24" ht="14.25" customHeight="1" x14ac:dyDescent="0.25"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2"/>
    </row>
    <row r="28" spans="2:24" ht="24.95" customHeight="1" x14ac:dyDescent="0.25">
      <c r="B28" s="43" t="s">
        <v>29</v>
      </c>
      <c r="C28" s="29" t="s">
        <v>44</v>
      </c>
      <c r="D28" s="24">
        <f t="shared" si="35"/>
        <v>4.25</v>
      </c>
      <c r="E28" s="44">
        <v>5</v>
      </c>
      <c r="F28" s="45">
        <f>SUM(V28:V32)/5</f>
        <v>4.28</v>
      </c>
      <c r="G28" s="43" t="s">
        <v>19</v>
      </c>
      <c r="H28" s="2"/>
      <c r="I28" s="29">
        <v>5</v>
      </c>
      <c r="J28" s="29">
        <v>15</v>
      </c>
      <c r="K28" s="29">
        <v>0</v>
      </c>
      <c r="L28" s="29">
        <v>0</v>
      </c>
      <c r="M28" s="29">
        <v>0</v>
      </c>
      <c r="N28" s="16"/>
      <c r="O28" s="15">
        <f>I28*5</f>
        <v>25</v>
      </c>
      <c r="P28" s="15">
        <f>J28*4</f>
        <v>60</v>
      </c>
      <c r="Q28" s="23">
        <f>K28*3</f>
        <v>0</v>
      </c>
      <c r="R28" s="23">
        <f>L28*2</f>
        <v>0</v>
      </c>
      <c r="S28" s="23">
        <f t="shared" ref="S28" si="47">M28*1</f>
        <v>0</v>
      </c>
      <c r="T28" s="23">
        <f t="shared" ref="T28" si="48">SUM(I28:M28)</f>
        <v>20</v>
      </c>
      <c r="U28" s="23">
        <f t="shared" ref="U28" si="49">SUM(O28:S28)</f>
        <v>85</v>
      </c>
      <c r="V28" s="17">
        <f t="shared" si="38"/>
        <v>4.25</v>
      </c>
      <c r="W28" s="23" t="s">
        <v>19</v>
      </c>
      <c r="X28" s="28">
        <v>4</v>
      </c>
    </row>
    <row r="29" spans="2:24" ht="24.95" customHeight="1" x14ac:dyDescent="0.25">
      <c r="B29" s="43"/>
      <c r="C29" s="29" t="s">
        <v>45</v>
      </c>
      <c r="D29" s="24">
        <f t="shared" si="35"/>
        <v>4.3499999999999996</v>
      </c>
      <c r="E29" s="44"/>
      <c r="F29" s="45"/>
      <c r="G29" s="43"/>
      <c r="H29" s="2"/>
      <c r="I29" s="29">
        <v>7</v>
      </c>
      <c r="J29" s="29">
        <v>13</v>
      </c>
      <c r="K29" s="29">
        <v>0</v>
      </c>
      <c r="L29" s="29">
        <v>0</v>
      </c>
      <c r="M29" s="29">
        <v>0</v>
      </c>
      <c r="N29" s="16"/>
      <c r="O29" s="15">
        <f t="shared" ref="O29:O31" si="50">I29*5</f>
        <v>35</v>
      </c>
      <c r="P29" s="15">
        <f t="shared" ref="P29:P31" si="51">J29*4</f>
        <v>52</v>
      </c>
      <c r="Q29" s="23">
        <f t="shared" ref="Q29:Q31" si="52">K29*3</f>
        <v>0</v>
      </c>
      <c r="R29" s="23">
        <f t="shared" ref="R29:R31" si="53">L29*2</f>
        <v>0</v>
      </c>
      <c r="S29" s="23">
        <f t="shared" ref="S29:S31" si="54">M29*1</f>
        <v>0</v>
      </c>
      <c r="T29" s="23">
        <f t="shared" ref="T29:T31" si="55">SUM(I29:M29)</f>
        <v>20</v>
      </c>
      <c r="U29" s="23">
        <f t="shared" ref="U29:U31" si="56">SUM(O29:S29)</f>
        <v>87</v>
      </c>
      <c r="V29" s="17">
        <f t="shared" ref="V29:V31" si="57">U29/T29</f>
        <v>4.3499999999999996</v>
      </c>
      <c r="W29" s="29" t="s">
        <v>19</v>
      </c>
      <c r="X29" s="28">
        <v>1.5</v>
      </c>
    </row>
    <row r="30" spans="2:24" ht="24.95" customHeight="1" x14ac:dyDescent="0.25">
      <c r="B30" s="43"/>
      <c r="C30" s="29" t="s">
        <v>46</v>
      </c>
      <c r="D30" s="24">
        <f t="shared" si="35"/>
        <v>4.1500000000000004</v>
      </c>
      <c r="E30" s="44"/>
      <c r="F30" s="45"/>
      <c r="G30" s="43"/>
      <c r="H30" s="2"/>
      <c r="I30" s="29">
        <v>4</v>
      </c>
      <c r="J30" s="29">
        <v>15</v>
      </c>
      <c r="K30" s="29">
        <v>1</v>
      </c>
      <c r="L30" s="29">
        <v>0</v>
      </c>
      <c r="M30" s="29">
        <v>0</v>
      </c>
      <c r="N30" s="16"/>
      <c r="O30" s="15">
        <f t="shared" si="50"/>
        <v>20</v>
      </c>
      <c r="P30" s="15">
        <f t="shared" si="51"/>
        <v>60</v>
      </c>
      <c r="Q30" s="23">
        <f t="shared" si="52"/>
        <v>3</v>
      </c>
      <c r="R30" s="23">
        <f t="shared" si="53"/>
        <v>0</v>
      </c>
      <c r="S30" s="23">
        <f t="shared" si="54"/>
        <v>0</v>
      </c>
      <c r="T30" s="23">
        <f t="shared" si="55"/>
        <v>20</v>
      </c>
      <c r="U30" s="23">
        <f t="shared" si="56"/>
        <v>83</v>
      </c>
      <c r="V30" s="17">
        <f t="shared" si="57"/>
        <v>4.1500000000000004</v>
      </c>
      <c r="W30" s="28" t="s">
        <v>28</v>
      </c>
      <c r="X30" s="28">
        <v>5</v>
      </c>
    </row>
    <row r="31" spans="2:24" ht="24.95" customHeight="1" x14ac:dyDescent="0.25">
      <c r="B31" s="43"/>
      <c r="C31" s="29" t="s">
        <v>47</v>
      </c>
      <c r="D31" s="24">
        <f t="shared" si="35"/>
        <v>4.3499999999999996</v>
      </c>
      <c r="E31" s="44"/>
      <c r="F31" s="45"/>
      <c r="G31" s="43"/>
      <c r="H31" s="2"/>
      <c r="I31" s="29">
        <v>8</v>
      </c>
      <c r="J31" s="29">
        <v>11</v>
      </c>
      <c r="K31" s="29">
        <v>1</v>
      </c>
      <c r="L31" s="29">
        <v>0</v>
      </c>
      <c r="M31" s="29">
        <v>0</v>
      </c>
      <c r="N31" s="16"/>
      <c r="O31" s="15">
        <f t="shared" si="50"/>
        <v>40</v>
      </c>
      <c r="P31" s="15">
        <f t="shared" si="51"/>
        <v>44</v>
      </c>
      <c r="Q31" s="23">
        <f t="shared" si="52"/>
        <v>3</v>
      </c>
      <c r="R31" s="23">
        <f t="shared" si="53"/>
        <v>0</v>
      </c>
      <c r="S31" s="23">
        <f t="shared" si="54"/>
        <v>0</v>
      </c>
      <c r="T31" s="23">
        <f t="shared" si="55"/>
        <v>20</v>
      </c>
      <c r="U31" s="23">
        <f t="shared" si="56"/>
        <v>87</v>
      </c>
      <c r="V31" s="17">
        <f t="shared" si="57"/>
        <v>4.3499999999999996</v>
      </c>
      <c r="W31" s="23" t="s">
        <v>19</v>
      </c>
      <c r="X31" s="28">
        <v>1.5</v>
      </c>
    </row>
    <row r="32" spans="2:24" ht="24.75" customHeight="1" x14ac:dyDescent="0.25">
      <c r="B32" s="43"/>
      <c r="C32" s="29" t="s">
        <v>48</v>
      </c>
      <c r="D32" s="24">
        <f t="shared" si="35"/>
        <v>4.3</v>
      </c>
      <c r="E32" s="44"/>
      <c r="F32" s="45"/>
      <c r="G32" s="43"/>
      <c r="H32" s="2"/>
      <c r="I32" s="29">
        <v>7</v>
      </c>
      <c r="J32" s="29">
        <v>12</v>
      </c>
      <c r="K32" s="29">
        <v>1</v>
      </c>
      <c r="L32" s="29">
        <v>0</v>
      </c>
      <c r="M32" s="29">
        <v>0</v>
      </c>
      <c r="N32" s="16"/>
      <c r="O32" s="15">
        <f>I32*5</f>
        <v>35</v>
      </c>
      <c r="P32" s="15">
        <f>J32*4</f>
        <v>48</v>
      </c>
      <c r="Q32" s="23">
        <f>K32*3</f>
        <v>3</v>
      </c>
      <c r="R32" s="23">
        <f>L32*2</f>
        <v>0</v>
      </c>
      <c r="S32" s="23">
        <f t="shared" ref="S32" si="58">M32*1</f>
        <v>0</v>
      </c>
      <c r="T32" s="23">
        <f>SUM(I32:M32)</f>
        <v>20</v>
      </c>
      <c r="U32" s="23">
        <f>SUM(O32:S32)</f>
        <v>86</v>
      </c>
      <c r="V32" s="17">
        <f>U32/T32</f>
        <v>4.3</v>
      </c>
      <c r="W32" s="23" t="s">
        <v>19</v>
      </c>
      <c r="X32" s="28">
        <v>3</v>
      </c>
    </row>
    <row r="33" spans="2:24" ht="14.25" customHeight="1" x14ac:dyDescent="0.25">
      <c r="B33" s="25"/>
      <c r="C33" s="26"/>
      <c r="D33" s="30"/>
      <c r="E33" s="31"/>
      <c r="F33" s="30"/>
      <c r="G33" s="26"/>
      <c r="I33" s="26"/>
      <c r="J33" s="26"/>
      <c r="K33" s="26"/>
      <c r="L33" s="26"/>
      <c r="M33" s="26"/>
      <c r="O33" s="3"/>
      <c r="P33" s="3"/>
      <c r="Q33" s="26"/>
      <c r="R33" s="26"/>
      <c r="S33" s="26"/>
      <c r="T33" s="26"/>
      <c r="U33" s="26"/>
      <c r="V33" s="32"/>
      <c r="W33" s="26"/>
      <c r="X33" s="27"/>
    </row>
    <row r="34" spans="2:24" ht="27" customHeight="1" x14ac:dyDescent="0.25">
      <c r="B34" s="35" t="s">
        <v>30</v>
      </c>
      <c r="C34" s="36"/>
      <c r="D34" s="36"/>
      <c r="E34" s="37"/>
      <c r="F34" s="18">
        <f>SUM(F10,F16,F22,F28)/4</f>
        <v>4.2850000000000001</v>
      </c>
      <c r="G34" s="20" t="s">
        <v>19</v>
      </c>
      <c r="H34" s="35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7"/>
    </row>
    <row r="35" spans="2:24" x14ac:dyDescent="0.25">
      <c r="I35" s="3"/>
    </row>
    <row r="36" spans="2:24" x14ac:dyDescent="0.25">
      <c r="I36" s="3"/>
    </row>
    <row r="37" spans="2:24" x14ac:dyDescent="0.25">
      <c r="I37" s="3"/>
    </row>
    <row r="38" spans="2:24" x14ac:dyDescent="0.25">
      <c r="I38" s="3"/>
    </row>
    <row r="39" spans="2:24" x14ac:dyDescent="0.25">
      <c r="I39" s="3"/>
    </row>
    <row r="40" spans="2:24" x14ac:dyDescent="0.25">
      <c r="I40" s="3"/>
    </row>
    <row r="41" spans="2:24" x14ac:dyDescent="0.25">
      <c r="I41" s="3"/>
    </row>
    <row r="42" spans="2:24" x14ac:dyDescent="0.25">
      <c r="I42" s="3"/>
    </row>
    <row r="43" spans="2:24" x14ac:dyDescent="0.25">
      <c r="I43" s="3"/>
    </row>
    <row r="44" spans="2:24" x14ac:dyDescent="0.25">
      <c r="I44" s="3"/>
    </row>
    <row r="45" spans="2:24" x14ac:dyDescent="0.25">
      <c r="I45" s="3"/>
    </row>
    <row r="46" spans="2:24" x14ac:dyDescent="0.25">
      <c r="I46" s="3"/>
    </row>
    <row r="47" spans="2:24" x14ac:dyDescent="0.25">
      <c r="I47" s="3"/>
    </row>
    <row r="48" spans="2:24" x14ac:dyDescent="0.25">
      <c r="I48" s="3"/>
    </row>
    <row r="49" spans="9:9" x14ac:dyDescent="0.25">
      <c r="I49" s="3"/>
    </row>
    <row r="50" spans="9:9" x14ac:dyDescent="0.25">
      <c r="I50" s="3"/>
    </row>
    <row r="51" spans="9:9" x14ac:dyDescent="0.25">
      <c r="I51" s="3"/>
    </row>
    <row r="52" spans="9:9" x14ac:dyDescent="0.25">
      <c r="I52" s="3"/>
    </row>
    <row r="53" spans="9:9" x14ac:dyDescent="0.25">
      <c r="I53" s="3"/>
    </row>
    <row r="54" spans="9:9" x14ac:dyDescent="0.25">
      <c r="I54" s="3"/>
    </row>
    <row r="55" spans="9:9" x14ac:dyDescent="0.25">
      <c r="I55" s="3"/>
    </row>
    <row r="56" spans="9:9" x14ac:dyDescent="0.25">
      <c r="I56" s="3"/>
    </row>
    <row r="57" spans="9:9" x14ac:dyDescent="0.25">
      <c r="I57" s="3"/>
    </row>
    <row r="58" spans="9:9" x14ac:dyDescent="0.25">
      <c r="I58" s="3"/>
    </row>
    <row r="59" spans="9:9" x14ac:dyDescent="0.25">
      <c r="I59" s="3"/>
    </row>
    <row r="60" spans="9:9" x14ac:dyDescent="0.25">
      <c r="I60" s="3"/>
    </row>
    <row r="61" spans="9:9" x14ac:dyDescent="0.25">
      <c r="I61" s="3"/>
    </row>
    <row r="62" spans="9:9" x14ac:dyDescent="0.25">
      <c r="I62" s="3"/>
    </row>
    <row r="63" spans="9:9" x14ac:dyDescent="0.25">
      <c r="I63" s="3"/>
    </row>
    <row r="64" spans="9:9" x14ac:dyDescent="0.25">
      <c r="I64" s="3"/>
    </row>
    <row r="65" spans="9:14" x14ac:dyDescent="0.25">
      <c r="I65" s="3"/>
    </row>
    <row r="66" spans="9:14" x14ac:dyDescent="0.25">
      <c r="I66" s="3"/>
    </row>
    <row r="67" spans="9:14" x14ac:dyDescent="0.25">
      <c r="I67" s="3"/>
    </row>
    <row r="68" spans="9:14" x14ac:dyDescent="0.25">
      <c r="I68" s="3"/>
    </row>
    <row r="69" spans="9:14" x14ac:dyDescent="0.25">
      <c r="I69" s="3"/>
    </row>
    <row r="70" spans="9:14" x14ac:dyDescent="0.25">
      <c r="I70" s="3"/>
    </row>
    <row r="71" spans="9:14" x14ac:dyDescent="0.25">
      <c r="I71" s="3"/>
    </row>
    <row r="72" spans="9:14" x14ac:dyDescent="0.25">
      <c r="I72" s="3"/>
    </row>
    <row r="73" spans="9:14" x14ac:dyDescent="0.25">
      <c r="I73" s="3"/>
    </row>
    <row r="74" spans="9:14" x14ac:dyDescent="0.25">
      <c r="I74" s="3"/>
    </row>
    <row r="75" spans="9:14" x14ac:dyDescent="0.25">
      <c r="I75" s="3"/>
    </row>
    <row r="76" spans="9:14" x14ac:dyDescent="0.25">
      <c r="I76" s="3"/>
    </row>
    <row r="77" spans="9:14" x14ac:dyDescent="0.25">
      <c r="I77" s="3"/>
    </row>
    <row r="78" spans="9:14" x14ac:dyDescent="0.25">
      <c r="I78" s="3"/>
      <c r="N78" s="3" t="s">
        <v>33</v>
      </c>
    </row>
    <row r="79" spans="9:14" x14ac:dyDescent="0.25">
      <c r="I79" s="3"/>
    </row>
    <row r="80" spans="9:14" x14ac:dyDescent="0.25">
      <c r="I80" s="3"/>
    </row>
    <row r="81" spans="9:9" x14ac:dyDescent="0.25">
      <c r="I81" s="3"/>
    </row>
    <row r="82" spans="9:9" x14ac:dyDescent="0.25">
      <c r="I82" s="3"/>
    </row>
    <row r="83" spans="9:9" x14ac:dyDescent="0.25">
      <c r="I83" s="3"/>
    </row>
    <row r="84" spans="9:9" x14ac:dyDescent="0.25">
      <c r="I84" s="3"/>
    </row>
    <row r="85" spans="9:9" x14ac:dyDescent="0.25">
      <c r="I85" s="3"/>
    </row>
    <row r="86" spans="9:9" x14ac:dyDescent="0.25">
      <c r="I86" s="3"/>
    </row>
    <row r="87" spans="9:9" x14ac:dyDescent="0.25">
      <c r="I87" s="3"/>
    </row>
    <row r="88" spans="9:9" x14ac:dyDescent="0.25">
      <c r="I88" s="3"/>
    </row>
    <row r="89" spans="9:9" x14ac:dyDescent="0.25">
      <c r="I89" s="3"/>
    </row>
    <row r="90" spans="9:9" x14ac:dyDescent="0.25">
      <c r="I90" s="3"/>
    </row>
    <row r="91" spans="9:9" x14ac:dyDescent="0.25">
      <c r="I91" s="3"/>
    </row>
    <row r="92" spans="9:9" x14ac:dyDescent="0.25">
      <c r="I92" s="3"/>
    </row>
    <row r="93" spans="9:9" x14ac:dyDescent="0.25">
      <c r="I93" s="3"/>
    </row>
    <row r="94" spans="9:9" x14ac:dyDescent="0.25">
      <c r="I94" s="3"/>
    </row>
    <row r="95" spans="9:9" x14ac:dyDescent="0.25">
      <c r="I95" s="3"/>
    </row>
    <row r="96" spans="9:9" x14ac:dyDescent="0.25">
      <c r="I96" s="3"/>
    </row>
    <row r="97" spans="9:9" x14ac:dyDescent="0.25">
      <c r="I97" s="3"/>
    </row>
    <row r="98" spans="9:9" x14ac:dyDescent="0.25">
      <c r="I98" s="3"/>
    </row>
    <row r="99" spans="9:9" x14ac:dyDescent="0.25">
      <c r="I99" s="3"/>
    </row>
    <row r="100" spans="9:9" x14ac:dyDescent="0.25">
      <c r="I100" s="3"/>
    </row>
    <row r="101" spans="9:9" x14ac:dyDescent="0.25">
      <c r="I101" s="3"/>
    </row>
    <row r="102" spans="9:9" x14ac:dyDescent="0.25">
      <c r="I102" s="3"/>
    </row>
    <row r="103" spans="9:9" x14ac:dyDescent="0.25">
      <c r="I103" s="3"/>
    </row>
    <row r="104" spans="9:9" x14ac:dyDescent="0.25">
      <c r="I104" s="3"/>
    </row>
    <row r="105" spans="9:9" x14ac:dyDescent="0.25">
      <c r="I105" s="3"/>
    </row>
    <row r="106" spans="9:9" x14ac:dyDescent="0.25">
      <c r="I106" s="3"/>
    </row>
    <row r="107" spans="9:9" x14ac:dyDescent="0.25">
      <c r="I107" s="3"/>
    </row>
    <row r="108" spans="9:9" x14ac:dyDescent="0.25">
      <c r="I108" s="3"/>
    </row>
    <row r="109" spans="9:9" x14ac:dyDescent="0.25">
      <c r="I109" s="3"/>
    </row>
    <row r="110" spans="9:9" x14ac:dyDescent="0.25">
      <c r="I110" s="3"/>
    </row>
    <row r="111" spans="9:9" x14ac:dyDescent="0.25">
      <c r="I111" s="3"/>
    </row>
    <row r="112" spans="9:9" x14ac:dyDescent="0.25">
      <c r="I112" s="3"/>
    </row>
    <row r="113" spans="9:9" x14ac:dyDescent="0.25">
      <c r="I113" s="3"/>
    </row>
    <row r="114" spans="9:9" x14ac:dyDescent="0.25">
      <c r="I114" s="3"/>
    </row>
    <row r="115" spans="9:9" x14ac:dyDescent="0.25">
      <c r="I115" s="3"/>
    </row>
    <row r="116" spans="9:9" x14ac:dyDescent="0.25">
      <c r="I116" s="3"/>
    </row>
    <row r="117" spans="9:9" x14ac:dyDescent="0.25">
      <c r="I117" s="3"/>
    </row>
    <row r="118" spans="9:9" x14ac:dyDescent="0.25">
      <c r="I118" s="3"/>
    </row>
    <row r="119" spans="9:9" x14ac:dyDescent="0.25">
      <c r="I119" s="3"/>
    </row>
    <row r="120" spans="9:9" x14ac:dyDescent="0.25">
      <c r="I120" s="3"/>
    </row>
  </sheetData>
  <mergeCells count="31">
    <mergeCell ref="V8:V9"/>
    <mergeCell ref="U8:U9"/>
    <mergeCell ref="E10:E14"/>
    <mergeCell ref="F10:F14"/>
    <mergeCell ref="G10:G14"/>
    <mergeCell ref="B10:B14"/>
    <mergeCell ref="B16:B20"/>
    <mergeCell ref="G22:G26"/>
    <mergeCell ref="E16:E20"/>
    <mergeCell ref="F16:F20"/>
    <mergeCell ref="G16:G20"/>
    <mergeCell ref="D3:H3"/>
    <mergeCell ref="D4:H4"/>
    <mergeCell ref="D5:H5"/>
    <mergeCell ref="D6:H6"/>
    <mergeCell ref="T8:T9"/>
    <mergeCell ref="W8:W9"/>
    <mergeCell ref="H34:X34"/>
    <mergeCell ref="B34:E34"/>
    <mergeCell ref="B9:C9"/>
    <mergeCell ref="B21:X21"/>
    <mergeCell ref="B15:X15"/>
    <mergeCell ref="B22:B26"/>
    <mergeCell ref="E22:E26"/>
    <mergeCell ref="F22:F26"/>
    <mergeCell ref="B28:B32"/>
    <mergeCell ref="E28:E32"/>
    <mergeCell ref="F28:F32"/>
    <mergeCell ref="G28:G32"/>
    <mergeCell ref="B27:X27"/>
    <mergeCell ref="X8:X9"/>
  </mergeCells>
  <pageMargins left="0.31496062992125984" right="0.31496062992125984" top="0.55118110236220474" bottom="0.55118110236220474" header="0.31496062992125984" footer="0.31496062992125984"/>
  <pageSetup scale="9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flordelisturtoga1020@gmail.com</cp:lastModifiedBy>
  <cp:lastPrinted>2025-03-26T05:20:13Z</cp:lastPrinted>
  <dcterms:created xsi:type="dcterms:W3CDTF">2023-03-01T08:30:19Z</dcterms:created>
  <dcterms:modified xsi:type="dcterms:W3CDTF">2026-09-11T05:40:30Z</dcterms:modified>
</cp:coreProperties>
</file>