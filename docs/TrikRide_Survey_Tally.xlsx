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assenger Responses" sheetId="2" state="visible" r:id="rId2"/>
    <sheet xmlns:r="http://schemas.openxmlformats.org/officeDocument/2006/relationships" name="Driver Responses" sheetId="3" state="visible" r:id="rId3"/>
    <sheet xmlns:r="http://schemas.openxmlformats.org/officeDocument/2006/relationships" name="Admin Responses" sheetId="4" state="visible" r:id="rId4"/>
    <sheet xmlns:r="http://schemas.openxmlformats.org/officeDocument/2006/relationships" name="Tally - Passenger" sheetId="5" state="visible" r:id="rId5"/>
    <sheet xmlns:r="http://schemas.openxmlformats.org/officeDocument/2006/relationships" name="Tally - Driver" sheetId="6" state="visible" r:id="rId6"/>
    <sheet xmlns:r="http://schemas.openxmlformats.org/officeDocument/2006/relationships" name="Tally - Admin" sheetId="7" state="visible" r:id="rId7"/>
    <sheet xmlns:r="http://schemas.openxmlformats.org/officeDocument/2006/relationships" name="Open-Ended"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i val="1"/>
      <color rgb="00666666"/>
      <sz val="9"/>
    </font>
    <font>
      <name val="Arial"/>
      <b val="1"/>
      <sz val="11"/>
    </font>
    <font>
      <name val="Arial"/>
      <b val="1"/>
      <color rgb="00FFFFFF"/>
      <sz val="11"/>
    </font>
    <font>
      <name val="Arial"/>
      <b val="1"/>
      <sz val="10"/>
    </font>
    <font>
      <name val="Arial"/>
      <b val="1"/>
      <color rgb="00FFFFFF"/>
      <sz val="10"/>
    </font>
  </fonts>
  <fills count="5">
    <fill>
      <patternFill/>
    </fill>
    <fill>
      <patternFill patternType="gray125"/>
    </fill>
    <fill>
      <patternFill patternType="solid">
        <fgColor rgb="001B5E20"/>
      </patternFill>
    </fill>
    <fill>
      <patternFill patternType="solid">
        <fgColor rgb="00FFF2CC"/>
      </patternFill>
    </fill>
    <fill>
      <patternFill patternType="solid">
        <fgColor rgb="00D9EAD3"/>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38">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wrapText="1"/>
    </xf>
    <xf numFmtId="0" fontId="4" fillId="0" borderId="0" applyAlignment="1" pivotButton="0" quotePrefix="0" xfId="0">
      <alignment horizontal="left" vertical="top"/>
    </xf>
    <xf numFmtId="0" fontId="2" fillId="0" borderId="0" applyAlignment="1" pivotButton="0" quotePrefix="0" xfId="0">
      <alignment horizontal="right" vertical="top"/>
    </xf>
    <xf numFmtId="0" fontId="2" fillId="0" borderId="0" applyAlignment="1" pivotButton="0" quotePrefix="0" xfId="0">
      <alignment horizontal="left" vertical="top" wrapText="1"/>
    </xf>
    <xf numFmtId="0" fontId="5" fillId="2" borderId="1" applyAlignment="1" pivotButton="0" quotePrefix="0" xfId="0">
      <alignment horizontal="left" vertical="top"/>
    </xf>
    <xf numFmtId="0" fontId="2" fillId="0" borderId="1" applyAlignment="1" pivotButton="0" quotePrefix="0" xfId="0">
      <alignment horizontal="left" vertical="top"/>
    </xf>
    <xf numFmtId="0" fontId="6" fillId="0" borderId="0" applyAlignment="1" pivotButton="0" quotePrefix="0" xfId="0">
      <alignment horizontal="left" vertical="top"/>
    </xf>
    <xf numFmtId="0" fontId="1" fillId="0" borderId="0" pivotButton="0" quotePrefix="0" xfId="0"/>
    <xf numFmtId="0" fontId="3" fillId="0" borderId="0" pivotButton="0" quotePrefix="0" xfId="0"/>
    <xf numFmtId="0" fontId="3" fillId="0" borderId="0" applyAlignment="1" pivotButton="0" quotePrefix="0" xfId="0">
      <alignment horizontal="center" vertical="bottom" textRotation="90"/>
    </xf>
    <xf numFmtId="0" fontId="5" fillId="2" borderId="1" applyAlignment="1" pivotButton="0" quotePrefix="0" xfId="0">
      <alignment horizontal="center" vertical="center" wrapText="1"/>
    </xf>
    <xf numFmtId="0" fontId="5" fillId="2" borderId="1" applyAlignment="1" pivotButton="0" quotePrefix="0" xfId="0">
      <alignment horizontal="center" vertical="center"/>
    </xf>
    <xf numFmtId="0" fontId="2" fillId="3" borderId="1" applyAlignment="1" pivotButton="0" quotePrefix="0" xfId="0">
      <alignment horizontal="center"/>
    </xf>
    <xf numFmtId="0" fontId="2" fillId="0" borderId="1" pivotButton="0" quotePrefix="0" xfId="0"/>
    <xf numFmtId="0" fontId="2" fillId="0" borderId="1" applyAlignment="1" pivotButton="0" quotePrefix="0" xfId="0">
      <alignment horizontal="center"/>
    </xf>
    <xf numFmtId="0" fontId="7" fillId="2" borderId="1" applyAlignment="1" pivotButton="0" quotePrefix="0" xfId="0">
      <alignment horizontal="center" vertical="center"/>
    </xf>
    <xf numFmtId="0" fontId="6" fillId="4" borderId="1" pivotButton="0" quotePrefix="0" xfId="0"/>
    <xf numFmtId="0" fontId="0" fillId="0" borderId="4" pivotButton="0" quotePrefix="0" xfId="0"/>
    <xf numFmtId="0" fontId="0" fillId="0" borderId="5" pivotButton="0" quotePrefix="0" xfId="0"/>
    <xf numFmtId="0" fontId="2" fillId="0" borderId="1" applyAlignment="1" pivotButton="0" quotePrefix="0" xfId="0">
      <alignment horizontal="center" vertical="center"/>
    </xf>
    <xf numFmtId="0" fontId="2" fillId="0" borderId="1" applyAlignment="1" pivotButton="0" quotePrefix="0" xfId="0">
      <alignment vertical="center" wrapText="1"/>
    </xf>
    <xf numFmtId="2" fontId="2" fillId="0" borderId="1" applyAlignment="1" pivotButton="0" quotePrefix="0" xfId="0">
      <alignment horizontal="center" vertical="center"/>
    </xf>
    <xf numFmtId="0" fontId="0" fillId="4" borderId="1" pivotButton="0" quotePrefix="0" xfId="0"/>
    <xf numFmtId="0" fontId="6" fillId="4" borderId="1" applyAlignment="1" pivotButton="0" quotePrefix="0" xfId="0">
      <alignment horizontal="right"/>
    </xf>
    <xf numFmtId="0" fontId="0" fillId="4" borderId="1" applyAlignment="1" pivotButton="0" quotePrefix="0" xfId="0">
      <alignment horizontal="center"/>
    </xf>
    <xf numFmtId="2" fontId="6" fillId="4" borderId="1" applyAlignment="1" pivotButton="0" quotePrefix="0" xfId="0">
      <alignment horizontal="center"/>
    </xf>
    <xf numFmtId="0" fontId="6" fillId="4" borderId="1" applyAlignment="1" pivotButton="0" quotePrefix="0" xfId="0">
      <alignment horizontal="center"/>
    </xf>
    <xf numFmtId="0" fontId="0" fillId="3" borderId="1" pivotButton="0" quotePrefix="0" xfId="0"/>
    <xf numFmtId="0" fontId="4" fillId="3" borderId="1" applyAlignment="1" pivotButton="0" quotePrefix="0" xfId="0">
      <alignment horizontal="right"/>
    </xf>
    <xf numFmtId="0" fontId="0" fillId="3" borderId="1" applyAlignment="1" pivotButton="0" quotePrefix="0" xfId="0">
      <alignment horizontal="center"/>
    </xf>
    <xf numFmtId="2" fontId="4" fillId="3" borderId="1" applyAlignment="1" pivotButton="0" quotePrefix="0" xfId="0">
      <alignment horizontal="center"/>
    </xf>
    <xf numFmtId="0" fontId="4" fillId="3" borderId="1" applyAlignment="1" pivotButton="0" quotePrefix="0" xfId="0">
      <alignment horizontal="center"/>
    </xf>
    <xf numFmtId="0" fontId="7"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3"/>
  <sheetViews>
    <sheetView showGridLines="0" workbookViewId="0">
      <selection activeCell="A1" sqref="A1"/>
    </sheetView>
  </sheetViews>
  <sheetFormatPr baseColWidth="8" defaultRowHeight="15"/>
  <cols>
    <col width="3" customWidth="1" min="1" max="1"/>
    <col width="30" customWidth="1" min="2" max="2"/>
    <col width="22" customWidth="1" min="3" max="3"/>
    <col width="26" customWidth="1" min="4" max="4"/>
    <col width="26" customWidth="1" min="5" max="5"/>
  </cols>
  <sheetData>
    <row r="2">
      <c r="B2" s="1" t="inlineStr">
        <is>
          <t>TrikRide — Survey Tally Workbook</t>
        </is>
      </c>
    </row>
    <row r="3">
      <c r="B3" s="2" t="inlineStr">
        <is>
          <t>A Smart Tricycle Ride and Driver Onboarding System for Talibon Polytechnic College</t>
        </is>
      </c>
    </row>
    <row r="4" ht="30" customHeight="1">
      <c r="B4" s="3" t="inlineStr">
        <is>
          <t>Transcribed from Mumar_Capstone_Revised_2.docx. Every count and mean on the tally sheets is a formula — type the raw responses and the tallies fill themselves in.</t>
        </is>
      </c>
    </row>
    <row r="6">
      <c r="B6" s="4" t="inlineStr">
        <is>
          <t>How to use it</t>
        </is>
      </c>
    </row>
    <row r="7" ht="42" customHeight="1">
      <c r="B7" s="5" t="inlineStr">
        <is>
          <t>1.</t>
        </is>
      </c>
      <c r="C7" s="6" t="inlineStr">
        <is>
          <t>Enter one questionnaire per row on the matching Responses sheet. Passengers, drivers and the administrator each have their own sheet, because they answered different instruments.</t>
        </is>
      </c>
    </row>
    <row r="8" ht="42" customHeight="1">
      <c r="B8" s="5" t="inlineStr">
        <is>
          <t>2.</t>
        </is>
      </c>
      <c r="C8" s="6" t="inlineStr">
        <is>
          <t>Put a whole number 1 to 5 in each item column — the weight the respondent ticked. Leave a cell blank if they skipped that item; blanks are excluded from that item's mean rather than counted as zero.</t>
        </is>
      </c>
    </row>
    <row r="9" ht="42" customHeight="1">
      <c r="B9" s="5" t="inlineStr">
        <is>
          <t>3.</t>
        </is>
      </c>
      <c r="C9" s="6" t="inlineStr">
        <is>
          <t>Row 5 of each Responses sheet is a worked example, shaded yellow. Delete that row before you tally — it is outside the formula range, so it will not affect the results either way.</t>
        </is>
      </c>
    </row>
    <row r="10" ht="42" customHeight="1">
      <c r="B10" s="5" t="inlineStr">
        <is>
          <t>4.</t>
        </is>
      </c>
      <c r="C10" s="6" t="inlineStr">
        <is>
          <t>Read the results on the three Tally sheets. Nothing there needs typing.</t>
        </is>
      </c>
    </row>
    <row r="11" ht="42" customHeight="1">
      <c r="B11" s="5" t="inlineStr">
        <is>
          <t>5.</t>
        </is>
      </c>
      <c r="C11" s="6" t="inlineStr">
        <is>
          <t>Type the written answers on the Open-Ended sheet, one row per respondent.</t>
        </is>
      </c>
    </row>
    <row r="13">
      <c r="B13" s="4" t="inlineStr">
        <is>
          <t>Rating scale, as printed on the questionnaire</t>
        </is>
      </c>
    </row>
    <row r="14">
      <c r="B14" s="7" t="inlineStr">
        <is>
          <t>Weight</t>
        </is>
      </c>
      <c r="C14" s="7" t="inlineStr">
        <is>
          <t>Weighted Mean</t>
        </is>
      </c>
      <c r="D14" s="7" t="inlineStr">
        <is>
          <t>Response</t>
        </is>
      </c>
    </row>
    <row r="15">
      <c r="B15" s="8" t="n">
        <v>5</v>
      </c>
      <c r="C15" s="8" t="inlineStr">
        <is>
          <t>4.21 - 5.00</t>
        </is>
      </c>
      <c r="D15" s="8" t="inlineStr">
        <is>
          <t>Strongly Agree</t>
        </is>
      </c>
    </row>
    <row r="16">
      <c r="B16" s="8" t="n">
        <v>4</v>
      </c>
      <c r="C16" s="8" t="inlineStr">
        <is>
          <t>3.41 - 4.20</t>
        </is>
      </c>
      <c r="D16" s="8" t="inlineStr">
        <is>
          <t>Agree</t>
        </is>
      </c>
    </row>
    <row r="17">
      <c r="B17" s="8" t="n">
        <v>3</v>
      </c>
      <c r="C17" s="8" t="inlineStr">
        <is>
          <t>2.61 - 3.40</t>
        </is>
      </c>
      <c r="D17" s="8" t="inlineStr">
        <is>
          <t>Neutral</t>
        </is>
      </c>
    </row>
    <row r="18">
      <c r="B18" s="8" t="n">
        <v>2</v>
      </c>
      <c r="C18" s="8" t="inlineStr">
        <is>
          <t>1.81 - 2.60</t>
        </is>
      </c>
      <c r="D18" s="8" t="inlineStr">
        <is>
          <t>Disagree</t>
        </is>
      </c>
    </row>
    <row r="19">
      <c r="B19" s="8" t="n">
        <v>1</v>
      </c>
      <c r="C19" s="8" t="inlineStr">
        <is>
          <t>1.00 - 1.80</t>
        </is>
      </c>
      <c r="D19" s="8" t="inlineStr">
        <is>
          <t>Strongly Disagree</t>
        </is>
      </c>
    </row>
    <row r="21">
      <c r="B21" s="4" t="inlineStr">
        <is>
          <t>What is in this workbook</t>
        </is>
      </c>
    </row>
    <row r="22">
      <c r="B22" s="9" t="inlineStr">
        <is>
          <t>Passenger Responses</t>
        </is>
      </c>
      <c r="C22" s="6" t="inlineStr">
        <is>
          <t>Profile + 34 items (Part II, A to F)</t>
        </is>
      </c>
    </row>
    <row r="23">
      <c r="B23" s="9" t="inlineStr">
        <is>
          <t>Driver Responses</t>
        </is>
      </c>
      <c r="C23" s="6" t="inlineStr">
        <is>
          <t>Profile + 20 items (the separate driver instrument)</t>
        </is>
      </c>
    </row>
    <row r="24">
      <c r="B24" s="9" t="inlineStr">
        <is>
          <t>Admin Responses</t>
        </is>
      </c>
      <c r="C24" s="6" t="inlineStr">
        <is>
          <t>Profile + 7 items (Part III)</t>
        </is>
      </c>
    </row>
    <row r="25">
      <c r="B25" s="9" t="inlineStr">
        <is>
          <t>Tally - Passenger</t>
        </is>
      </c>
      <c r="C25" s="6" t="inlineStr">
        <is>
          <t>Counts, weighted mean and interpretation per item</t>
        </is>
      </c>
    </row>
    <row r="26">
      <c r="B26" s="9" t="inlineStr">
        <is>
          <t>Tally - Driver</t>
        </is>
      </c>
      <c r="C26" s="6" t="inlineStr">
        <is>
          <t>The same, for drivers</t>
        </is>
      </c>
    </row>
    <row r="27">
      <c r="B27" s="9" t="inlineStr">
        <is>
          <t>Tally - Admin</t>
        </is>
      </c>
      <c r="C27" s="6" t="inlineStr">
        <is>
          <t>The same, for the administrator</t>
        </is>
      </c>
    </row>
    <row r="28">
      <c r="B28" s="9" t="inlineStr">
        <is>
          <t>Open-Ended</t>
        </is>
      </c>
      <c r="C28" s="6" t="inlineStr">
        <is>
          <t>The written answers, verbatim</t>
        </is>
      </c>
    </row>
    <row r="30">
      <c r="B30" s="4" t="inlineStr">
        <is>
          <t>One thing to fix before printing</t>
        </is>
      </c>
    </row>
    <row r="31" ht="74" customHeight="1">
      <c r="B31" s="6" t="inlineStr">
        <is>
          <t>Part II, section B (Usability) lists "The system is easy to learn." twice — as item 1 and again as item 6. It is kept here exactly as printed so the sheet matches the paper, but asking the same question twice pulls that section's mean toward whatever respondents think of that one statement. Replace item 6 on the questionnaire and on the Passenger Responses and Tally - Passenger sheets, or delete it from all three.</t>
        </is>
      </c>
    </row>
    <row r="33">
      <c r="B33" s="3" t="inlineStr">
        <is>
          <t>Source: Mumar_Capstone_Revised_2.docx, Survey Questionnaire (Parts I to IV) and the driver instrument that follows it.</t>
        </is>
      </c>
    </row>
  </sheetData>
  <mergeCells count="15">
    <mergeCell ref="B31:E31"/>
    <mergeCell ref="C24:E24"/>
    <mergeCell ref="C28:E28"/>
    <mergeCell ref="C11:E11"/>
    <mergeCell ref="C27:E27"/>
    <mergeCell ref="B4:E4"/>
    <mergeCell ref="C23:E23"/>
    <mergeCell ref="C22:E22"/>
    <mergeCell ref="C8:E8"/>
    <mergeCell ref="C9:E9"/>
    <mergeCell ref="B33:E33"/>
    <mergeCell ref="C26:E26"/>
    <mergeCell ref="C7:E7"/>
    <mergeCell ref="C25:E25"/>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205"/>
  <sheetViews>
    <sheetView showGridLines="0" workbookViewId="0">
      <pane xSplit="8" ySplit="5" topLeftCell="I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4" customWidth="1" min="2" max="2"/>
    <col width="7" customWidth="1" min="3" max="3"/>
    <col width="10" customWidth="1" min="4" max="4"/>
    <col width="12" customWidth="1" min="5" max="5"/>
    <col width="12" customWidth="1" min="6" max="6"/>
    <col width="24" customWidth="1" min="7" max="7"/>
    <col width="20"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 width="6" customWidth="1" min="36" max="36"/>
    <col width="6" customWidth="1" min="37" max="37"/>
    <col width="6" customWidth="1" min="38" max="38"/>
    <col width="6" customWidth="1" min="39" max="39"/>
    <col width="6" customWidth="1" min="40" max="40"/>
    <col width="6" customWidth="1" min="41" max="41"/>
    <col width="6" customWidth="1" min="42" max="42"/>
  </cols>
  <sheetData>
    <row r="1">
      <c r="A1" s="10" t="inlineStr">
        <is>
          <t>Passenger Responses</t>
        </is>
      </c>
    </row>
    <row r="2">
      <c r="A2" s="11" t="inlineStr">
        <is>
          <t>One row per student/passenger respondent. Item columns take a whole number 1-5; the full statement is printed sideways above each one.</t>
        </is>
      </c>
    </row>
    <row r="3" ht="190" customHeight="1">
      <c r="I3" s="12" t="inlineStr">
        <is>
          <t>The ride booking feature works as expected.</t>
        </is>
      </c>
      <c r="J3" s="12" t="inlineStr">
        <is>
          <t>I receive timely notifications about my ride status.</t>
        </is>
      </c>
      <c r="K3" s="12" t="inlineStr">
        <is>
          <t>The system accurately matches me with an available driver.</t>
        </is>
      </c>
      <c r="L3" s="12" t="inlineStr">
        <is>
          <t>I can view the status of my booking in real time.</t>
        </is>
      </c>
      <c r="M3" s="12" t="inlineStr">
        <is>
          <t>The system performs all its intended functions correctly.</t>
        </is>
      </c>
      <c r="N3" s="12" t="inlineStr">
        <is>
          <t>The fare displayed is accurate.</t>
        </is>
      </c>
      <c r="O3" s="12" t="inlineStr">
        <is>
          <t>Driver information is correctly displayed.</t>
        </is>
      </c>
      <c r="P3" s="12" t="inlineStr">
        <is>
          <t>Ride history is properly recorded.</t>
        </is>
      </c>
      <c r="Q3" s="12" t="inlineStr">
        <is>
          <t>The system is easy to learn.</t>
        </is>
      </c>
      <c r="R3" s="12" t="inlineStr">
        <is>
          <t>The menus are easy to understand.</t>
        </is>
      </c>
      <c r="S3" s="12" t="inlineStr">
        <is>
          <t>Icons and buttons are properly labeled.</t>
        </is>
      </c>
      <c r="T3" s="12" t="inlineStr">
        <is>
          <t>The interface is visually appealing.</t>
        </is>
      </c>
      <c r="U3" s="12" t="inlineStr">
        <is>
          <t>I can complete my tasks without confusion.</t>
        </is>
      </c>
      <c r="V3" s="12" t="inlineStr">
        <is>
          <t>The system is easy to learn.</t>
        </is>
      </c>
      <c r="W3" s="12" t="inlineStr">
        <is>
          <t>The application loads quickly.</t>
        </is>
      </c>
      <c r="X3" s="12" t="inlineStr">
        <is>
          <t>Booking requests are processed immediately.</t>
        </is>
      </c>
      <c r="Y3" s="12" t="inlineStr">
        <is>
          <t>Notifications arrive without delay.</t>
        </is>
      </c>
      <c r="Z3" s="12" t="inlineStr">
        <is>
          <t>The system performs smoothly.</t>
        </is>
      </c>
      <c r="AA3" s="12" t="inlineStr">
        <is>
          <t>The application consumes minimal mobile resources.</t>
        </is>
      </c>
      <c r="AB3" s="12" t="inlineStr">
        <is>
          <t>The system recovers properly after connection interruptions.</t>
        </is>
      </c>
      <c r="AC3" s="12" t="inlineStr">
        <is>
          <t>I can depend on the system to connect me with a driver when needed.</t>
        </is>
      </c>
      <c r="AD3" s="12" t="inlineStr">
        <is>
          <t>The system maintains accurate and up-to-date information.</t>
        </is>
      </c>
      <c r="AE3" s="12" t="inlineStr">
        <is>
          <t>The system performs well even during peak hours.</t>
        </is>
      </c>
      <c r="AF3" s="12" t="inlineStr">
        <is>
          <t>I trust the system to provide a safe and reliable ride booking experience.</t>
        </is>
      </c>
      <c r="AG3" s="12" t="inlineStr">
        <is>
          <t>I feel that my personal information is protected.</t>
        </is>
      </c>
      <c r="AH3" s="12" t="inlineStr">
        <is>
          <t>The login process is secure.</t>
        </is>
      </c>
      <c r="AI3" s="12" t="inlineStr">
        <is>
          <t>Only authorized users can access their accounts.</t>
        </is>
      </c>
      <c r="AJ3" s="12" t="inlineStr">
        <is>
          <t>Driver information is securely stored.</t>
        </is>
      </c>
      <c r="AK3" s="12" t="inlineStr">
        <is>
          <t>I trust the system to protect my data.</t>
        </is>
      </c>
      <c r="AL3" s="12" t="inlineStr">
        <is>
          <t>I am satisfied with the overall performance of the system.</t>
        </is>
      </c>
      <c r="AM3" s="12" t="inlineStr">
        <is>
          <t>I would recommend this system to others.</t>
        </is>
      </c>
      <c r="AN3" s="12" t="inlineStr">
        <is>
          <t>I intend to continue using the system.</t>
        </is>
      </c>
      <c r="AO3" s="12" t="inlineStr">
        <is>
          <t>The system meets my expectations.</t>
        </is>
      </c>
      <c r="AP3" s="12" t="inlineStr">
        <is>
          <t>Overall, I rate the system as effective.</t>
        </is>
      </c>
    </row>
    <row r="4" ht="30" customHeight="1">
      <c r="A4" s="13" t="inlineStr">
        <is>
          <t>Respondent No.</t>
        </is>
      </c>
      <c r="B4" s="13" t="inlineStr">
        <is>
          <t>Name (optional)</t>
        </is>
      </c>
      <c r="C4" s="13" t="inlineStr">
        <is>
          <t>Age</t>
        </is>
      </c>
      <c r="D4" s="13" t="inlineStr">
        <is>
          <t>Gender</t>
        </is>
      </c>
      <c r="E4" s="13" t="inlineStr">
        <is>
          <t>Course</t>
        </is>
      </c>
      <c r="F4" s="13" t="inlineStr">
        <is>
          <t>Year Level</t>
        </is>
      </c>
      <c r="G4" s="13" t="inlineStr">
        <is>
          <t>Frequency of using tricycles</t>
        </is>
      </c>
      <c r="H4" s="13" t="inlineStr">
        <is>
          <t>Average rides per week</t>
        </is>
      </c>
      <c r="I4" s="14" t="inlineStr">
        <is>
          <t>A1</t>
        </is>
      </c>
      <c r="J4" s="14" t="inlineStr">
        <is>
          <t>A2</t>
        </is>
      </c>
      <c r="K4" s="14" t="inlineStr">
        <is>
          <t>A3</t>
        </is>
      </c>
      <c r="L4" s="14" t="inlineStr">
        <is>
          <t>A4</t>
        </is>
      </c>
      <c r="M4" s="14" t="inlineStr">
        <is>
          <t>A5</t>
        </is>
      </c>
      <c r="N4" s="14" t="inlineStr">
        <is>
          <t>A6</t>
        </is>
      </c>
      <c r="O4" s="14" t="inlineStr">
        <is>
          <t>A7</t>
        </is>
      </c>
      <c r="P4" s="14" t="inlineStr">
        <is>
          <t>A8</t>
        </is>
      </c>
      <c r="Q4" s="14" t="inlineStr">
        <is>
          <t>B1</t>
        </is>
      </c>
      <c r="R4" s="14" t="inlineStr">
        <is>
          <t>B2</t>
        </is>
      </c>
      <c r="S4" s="14" t="inlineStr">
        <is>
          <t>B3</t>
        </is>
      </c>
      <c r="T4" s="14" t="inlineStr">
        <is>
          <t>B4</t>
        </is>
      </c>
      <c r="U4" s="14" t="inlineStr">
        <is>
          <t>B5</t>
        </is>
      </c>
      <c r="V4" s="14" t="inlineStr">
        <is>
          <t>B6</t>
        </is>
      </c>
      <c r="W4" s="14" t="inlineStr">
        <is>
          <t>C1</t>
        </is>
      </c>
      <c r="X4" s="14" t="inlineStr">
        <is>
          <t>C2</t>
        </is>
      </c>
      <c r="Y4" s="14" t="inlineStr">
        <is>
          <t>C3</t>
        </is>
      </c>
      <c r="Z4" s="14" t="inlineStr">
        <is>
          <t>C4</t>
        </is>
      </c>
      <c r="AA4" s="14" t="inlineStr">
        <is>
          <t>C5</t>
        </is>
      </c>
      <c r="AB4" s="14" t="inlineStr">
        <is>
          <t>D1</t>
        </is>
      </c>
      <c r="AC4" s="14" t="inlineStr">
        <is>
          <t>D2</t>
        </is>
      </c>
      <c r="AD4" s="14" t="inlineStr">
        <is>
          <t>D3</t>
        </is>
      </c>
      <c r="AE4" s="14" t="inlineStr">
        <is>
          <t>D4</t>
        </is>
      </c>
      <c r="AF4" s="14" t="inlineStr">
        <is>
          <t>D5</t>
        </is>
      </c>
      <c r="AG4" s="14" t="inlineStr">
        <is>
          <t>E1</t>
        </is>
      </c>
      <c r="AH4" s="14" t="inlineStr">
        <is>
          <t>E2</t>
        </is>
      </c>
      <c r="AI4" s="14" t="inlineStr">
        <is>
          <t>E3</t>
        </is>
      </c>
      <c r="AJ4" s="14" t="inlineStr">
        <is>
          <t>E4</t>
        </is>
      </c>
      <c r="AK4" s="14" t="inlineStr">
        <is>
          <t>E5</t>
        </is>
      </c>
      <c r="AL4" s="14" t="inlineStr">
        <is>
          <t>F1</t>
        </is>
      </c>
      <c r="AM4" s="14" t="inlineStr">
        <is>
          <t>F2</t>
        </is>
      </c>
      <c r="AN4" s="14" t="inlineStr">
        <is>
          <t>F3</t>
        </is>
      </c>
      <c r="AO4" s="14" t="inlineStr">
        <is>
          <t>F4</t>
        </is>
      </c>
      <c r="AP4" s="14" t="inlineStr">
        <is>
          <t>F5</t>
        </is>
      </c>
    </row>
    <row r="5">
      <c r="A5" s="15" t="inlineStr">
        <is>
          <t>EXAMPLE - delete</t>
        </is>
      </c>
      <c r="B5" s="15" t="inlineStr">
        <is>
          <t>Juan Dela Cruz</t>
        </is>
      </c>
      <c r="C5" s="15" t="n">
        <v>20</v>
      </c>
      <c r="D5" s="15" t="inlineStr">
        <is>
          <t>Female</t>
        </is>
      </c>
      <c r="E5" s="15" t="inlineStr">
        <is>
          <t>BSIS</t>
        </is>
      </c>
      <c r="F5" s="15" t="inlineStr">
        <is>
          <t>3rd Year</t>
        </is>
      </c>
      <c r="G5" s="15" t="inlineStr">
        <is>
          <t>Often</t>
        </is>
      </c>
      <c r="H5" s="15" t="inlineStr">
        <is>
          <t>6-10</t>
        </is>
      </c>
      <c r="I5" s="15" t="n">
        <v>5</v>
      </c>
      <c r="J5" s="15" t="n">
        <v>4</v>
      </c>
      <c r="K5" s="15" t="n">
        <v>5</v>
      </c>
      <c r="L5" s="15" t="n">
        <v>4</v>
      </c>
      <c r="M5" s="15" t="n">
        <v>5</v>
      </c>
      <c r="N5" s="15" t="n">
        <v>5</v>
      </c>
      <c r="O5" s="15" t="n">
        <v>4</v>
      </c>
      <c r="P5" s="15" t="n">
        <v>5</v>
      </c>
      <c r="Q5" s="15" t="n">
        <v>4</v>
      </c>
      <c r="R5" s="15" t="n">
        <v>5</v>
      </c>
      <c r="S5" s="15" t="n">
        <v>5</v>
      </c>
      <c r="T5" s="15" t="n">
        <v>4</v>
      </c>
      <c r="U5" s="15" t="n">
        <v>5</v>
      </c>
      <c r="V5" s="15" t="n">
        <v>4</v>
      </c>
      <c r="W5" s="15" t="n">
        <v>5</v>
      </c>
      <c r="X5" s="15" t="n">
        <v>5</v>
      </c>
      <c r="Y5" s="15" t="n">
        <v>4</v>
      </c>
      <c r="Z5" s="15" t="n">
        <v>5</v>
      </c>
      <c r="AA5" s="15" t="n">
        <v>4</v>
      </c>
      <c r="AB5" s="15" t="n">
        <v>5</v>
      </c>
      <c r="AC5" s="15" t="n">
        <v>5</v>
      </c>
      <c r="AD5" s="15" t="n">
        <v>4</v>
      </c>
      <c r="AE5" s="15" t="n">
        <v>5</v>
      </c>
      <c r="AF5" s="15" t="n">
        <v>4</v>
      </c>
      <c r="AG5" s="15" t="n">
        <v>5</v>
      </c>
      <c r="AH5" s="15" t="n">
        <v>5</v>
      </c>
      <c r="AI5" s="15" t="n">
        <v>4</v>
      </c>
      <c r="AJ5" s="15" t="n">
        <v>5</v>
      </c>
      <c r="AK5" s="15" t="n">
        <v>4</v>
      </c>
      <c r="AL5" s="15" t="n">
        <v>5</v>
      </c>
      <c r="AM5" s="15" t="n">
        <v>5</v>
      </c>
      <c r="AN5" s="15" t="n">
        <v>4</v>
      </c>
      <c r="AO5" s="15" t="n">
        <v>5</v>
      </c>
      <c r="AP5" s="15" t="n">
        <v>4</v>
      </c>
    </row>
    <row r="6">
      <c r="A6" s="16" t="n">
        <v>1</v>
      </c>
      <c r="B6" s="16" t="n"/>
      <c r="C6" s="16" t="n"/>
      <c r="D6" s="16" t="n"/>
      <c r="E6" s="16" t="n"/>
      <c r="F6" s="16" t="n"/>
      <c r="G6" s="16" t="n"/>
      <c r="H6" s="16"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row>
    <row r="7">
      <c r="A7" s="16" t="n">
        <v>2</v>
      </c>
      <c r="B7" s="16" t="n"/>
      <c r="C7" s="16" t="n"/>
      <c r="D7" s="16" t="n"/>
      <c r="E7" s="16" t="n"/>
      <c r="F7" s="16" t="n"/>
      <c r="G7" s="16" t="n"/>
      <c r="H7" s="16"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row>
    <row r="8">
      <c r="A8" s="16" t="n">
        <v>3</v>
      </c>
      <c r="B8" s="16" t="n"/>
      <c r="C8" s="16" t="n"/>
      <c r="D8" s="16" t="n"/>
      <c r="E8" s="16" t="n"/>
      <c r="F8" s="16" t="n"/>
      <c r="G8" s="16" t="n"/>
      <c r="H8" s="16"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row>
    <row r="9">
      <c r="A9" s="16" t="n">
        <v>4</v>
      </c>
      <c r="B9" s="16" t="n"/>
      <c r="C9" s="16" t="n"/>
      <c r="D9" s="16" t="n"/>
      <c r="E9" s="16" t="n"/>
      <c r="F9" s="16" t="n"/>
      <c r="G9" s="16" t="n"/>
      <c r="H9" s="16"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row>
    <row r="10">
      <c r="A10" s="16" t="n">
        <v>5</v>
      </c>
      <c r="B10" s="16" t="n"/>
      <c r="C10" s="16" t="n"/>
      <c r="D10" s="16" t="n"/>
      <c r="E10" s="16" t="n"/>
      <c r="F10" s="16" t="n"/>
      <c r="G10" s="16" t="n"/>
      <c r="H10" s="16"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row>
    <row r="11">
      <c r="A11" s="16" t="n">
        <v>6</v>
      </c>
      <c r="B11" s="16" t="n"/>
      <c r="C11" s="16" t="n"/>
      <c r="D11" s="16" t="n"/>
      <c r="E11" s="16" t="n"/>
      <c r="F11" s="16" t="n"/>
      <c r="G11" s="16" t="n"/>
      <c r="H11" s="16"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row>
    <row r="12">
      <c r="A12" s="16" t="n">
        <v>7</v>
      </c>
      <c r="B12" s="16" t="n"/>
      <c r="C12" s="16" t="n"/>
      <c r="D12" s="16" t="n"/>
      <c r="E12" s="16" t="n"/>
      <c r="F12" s="16" t="n"/>
      <c r="G12" s="16" t="n"/>
      <c r="H12" s="16"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row>
    <row r="13">
      <c r="A13" s="16" t="n">
        <v>8</v>
      </c>
      <c r="B13" s="16" t="n"/>
      <c r="C13" s="16" t="n"/>
      <c r="D13" s="16" t="n"/>
      <c r="E13" s="16" t="n"/>
      <c r="F13" s="16" t="n"/>
      <c r="G13" s="16" t="n"/>
      <c r="H13" s="16"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row>
    <row r="14">
      <c r="A14" s="16" t="n">
        <v>9</v>
      </c>
      <c r="B14" s="16" t="n"/>
      <c r="C14" s="16" t="n"/>
      <c r="D14" s="16" t="n"/>
      <c r="E14" s="16" t="n"/>
      <c r="F14" s="16" t="n"/>
      <c r="G14" s="16" t="n"/>
      <c r="H14" s="16"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row>
    <row r="15">
      <c r="A15" s="16" t="n">
        <v>10</v>
      </c>
      <c r="B15" s="16" t="n"/>
      <c r="C15" s="16" t="n"/>
      <c r="D15" s="16" t="n"/>
      <c r="E15" s="16" t="n"/>
      <c r="F15" s="16" t="n"/>
      <c r="G15" s="16" t="n"/>
      <c r="H15" s="16"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row>
    <row r="16">
      <c r="A16" s="16" t="n">
        <v>11</v>
      </c>
      <c r="B16" s="16" t="n"/>
      <c r="C16" s="16" t="n"/>
      <c r="D16" s="16" t="n"/>
      <c r="E16" s="16" t="n"/>
      <c r="F16" s="16" t="n"/>
      <c r="G16" s="16" t="n"/>
      <c r="H16" s="16"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row>
    <row r="17">
      <c r="A17" s="16" t="n">
        <v>12</v>
      </c>
      <c r="B17" s="16" t="n"/>
      <c r="C17" s="16" t="n"/>
      <c r="D17" s="16" t="n"/>
      <c r="E17" s="16" t="n"/>
      <c r="F17" s="16" t="n"/>
      <c r="G17" s="16" t="n"/>
      <c r="H17" s="16"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row>
    <row r="18">
      <c r="A18" s="16" t="n">
        <v>13</v>
      </c>
      <c r="B18" s="16" t="n"/>
      <c r="C18" s="16" t="n"/>
      <c r="D18" s="16" t="n"/>
      <c r="E18" s="16" t="n"/>
      <c r="F18" s="16" t="n"/>
      <c r="G18" s="16" t="n"/>
      <c r="H18" s="16"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row>
    <row r="19">
      <c r="A19" s="16" t="n">
        <v>14</v>
      </c>
      <c r="B19" s="16" t="n"/>
      <c r="C19" s="16" t="n"/>
      <c r="D19" s="16" t="n"/>
      <c r="E19" s="16" t="n"/>
      <c r="F19" s="16" t="n"/>
      <c r="G19" s="16" t="n"/>
      <c r="H19" s="16"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row>
    <row r="20">
      <c r="A20" s="16" t="n">
        <v>15</v>
      </c>
      <c r="B20" s="16" t="n"/>
      <c r="C20" s="16" t="n"/>
      <c r="D20" s="16" t="n"/>
      <c r="E20" s="16" t="n"/>
      <c r="F20" s="16" t="n"/>
      <c r="G20" s="16" t="n"/>
      <c r="H20" s="16"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row>
    <row r="21">
      <c r="A21" s="16" t="n">
        <v>16</v>
      </c>
      <c r="B21" s="16" t="n"/>
      <c r="C21" s="16" t="n"/>
      <c r="D21" s="16" t="n"/>
      <c r="E21" s="16" t="n"/>
      <c r="F21" s="16" t="n"/>
      <c r="G21" s="16" t="n"/>
      <c r="H21" s="16"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row>
    <row r="22">
      <c r="A22" s="16" t="n">
        <v>17</v>
      </c>
      <c r="B22" s="16" t="n"/>
      <c r="C22" s="16" t="n"/>
      <c r="D22" s="16" t="n"/>
      <c r="E22" s="16" t="n"/>
      <c r="F22" s="16" t="n"/>
      <c r="G22" s="16" t="n"/>
      <c r="H22" s="16"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row>
    <row r="23">
      <c r="A23" s="16" t="n">
        <v>18</v>
      </c>
      <c r="B23" s="16" t="n"/>
      <c r="C23" s="16" t="n"/>
      <c r="D23" s="16" t="n"/>
      <c r="E23" s="16" t="n"/>
      <c r="F23" s="16" t="n"/>
      <c r="G23" s="16" t="n"/>
      <c r="H23" s="16"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row>
    <row r="24">
      <c r="A24" s="16" t="n">
        <v>19</v>
      </c>
      <c r="B24" s="16" t="n"/>
      <c r="C24" s="16" t="n"/>
      <c r="D24" s="16" t="n"/>
      <c r="E24" s="16" t="n"/>
      <c r="F24" s="16" t="n"/>
      <c r="G24" s="16" t="n"/>
      <c r="H24" s="16"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row>
    <row r="25">
      <c r="A25" s="16" t="n">
        <v>20</v>
      </c>
      <c r="B25" s="16" t="n"/>
      <c r="C25" s="16" t="n"/>
      <c r="D25" s="16" t="n"/>
      <c r="E25" s="16" t="n"/>
      <c r="F25" s="16" t="n"/>
      <c r="G25" s="16" t="n"/>
      <c r="H25" s="16"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row>
    <row r="26">
      <c r="A26" s="16" t="n">
        <v>21</v>
      </c>
      <c r="B26" s="16" t="n"/>
      <c r="C26" s="16" t="n"/>
      <c r="D26" s="16" t="n"/>
      <c r="E26" s="16" t="n"/>
      <c r="F26" s="16" t="n"/>
      <c r="G26" s="16" t="n"/>
      <c r="H26" s="16"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row>
    <row r="27">
      <c r="A27" s="16" t="n">
        <v>22</v>
      </c>
      <c r="B27" s="16" t="n"/>
      <c r="C27" s="16" t="n"/>
      <c r="D27" s="16" t="n"/>
      <c r="E27" s="16" t="n"/>
      <c r="F27" s="16" t="n"/>
      <c r="G27" s="16" t="n"/>
      <c r="H27" s="16"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row>
    <row r="28">
      <c r="A28" s="16" t="n">
        <v>23</v>
      </c>
      <c r="B28" s="16" t="n"/>
      <c r="C28" s="16" t="n"/>
      <c r="D28" s="16" t="n"/>
      <c r="E28" s="16" t="n"/>
      <c r="F28" s="16" t="n"/>
      <c r="G28" s="16" t="n"/>
      <c r="H28" s="16"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row>
    <row r="29">
      <c r="A29" s="16" t="n">
        <v>24</v>
      </c>
      <c r="B29" s="16" t="n"/>
      <c r="C29" s="16" t="n"/>
      <c r="D29" s="16" t="n"/>
      <c r="E29" s="16" t="n"/>
      <c r="F29" s="16" t="n"/>
      <c r="G29" s="16" t="n"/>
      <c r="H29" s="16"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row>
    <row r="30">
      <c r="A30" s="16" t="n">
        <v>25</v>
      </c>
      <c r="B30" s="16" t="n"/>
      <c r="C30" s="16" t="n"/>
      <c r="D30" s="16" t="n"/>
      <c r="E30" s="16" t="n"/>
      <c r="F30" s="16" t="n"/>
      <c r="G30" s="16" t="n"/>
      <c r="H30" s="16"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row>
    <row r="31">
      <c r="A31" s="16" t="n">
        <v>26</v>
      </c>
      <c r="B31" s="16" t="n"/>
      <c r="C31" s="16" t="n"/>
      <c r="D31" s="16" t="n"/>
      <c r="E31" s="16" t="n"/>
      <c r="F31" s="16" t="n"/>
      <c r="G31" s="16" t="n"/>
      <c r="H31" s="16"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row>
    <row r="32">
      <c r="A32" s="16" t="n">
        <v>27</v>
      </c>
      <c r="B32" s="16" t="n"/>
      <c r="C32" s="16" t="n"/>
      <c r="D32" s="16" t="n"/>
      <c r="E32" s="16" t="n"/>
      <c r="F32" s="16" t="n"/>
      <c r="G32" s="16" t="n"/>
      <c r="H32" s="16"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row>
    <row r="33">
      <c r="A33" s="16" t="n">
        <v>28</v>
      </c>
      <c r="B33" s="16" t="n"/>
      <c r="C33" s="16" t="n"/>
      <c r="D33" s="16" t="n"/>
      <c r="E33" s="16" t="n"/>
      <c r="F33" s="16" t="n"/>
      <c r="G33" s="16" t="n"/>
      <c r="H33" s="16"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row>
    <row r="34">
      <c r="A34" s="16" t="n">
        <v>29</v>
      </c>
      <c r="B34" s="16" t="n"/>
      <c r="C34" s="16" t="n"/>
      <c r="D34" s="16" t="n"/>
      <c r="E34" s="16" t="n"/>
      <c r="F34" s="16" t="n"/>
      <c r="G34" s="16" t="n"/>
      <c r="H34" s="16"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row>
    <row r="35">
      <c r="A35" s="16" t="n">
        <v>30</v>
      </c>
      <c r="B35" s="16" t="n"/>
      <c r="C35" s="16" t="n"/>
      <c r="D35" s="16" t="n"/>
      <c r="E35" s="16" t="n"/>
      <c r="F35" s="16" t="n"/>
      <c r="G35" s="16" t="n"/>
      <c r="H35" s="16"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row>
    <row r="36">
      <c r="A36" s="16" t="n">
        <v>31</v>
      </c>
      <c r="B36" s="16" t="n"/>
      <c r="C36" s="16" t="n"/>
      <c r="D36" s="16" t="n"/>
      <c r="E36" s="16" t="n"/>
      <c r="F36" s="16" t="n"/>
      <c r="G36" s="16" t="n"/>
      <c r="H36" s="16"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row>
    <row r="37">
      <c r="A37" s="16" t="n">
        <v>32</v>
      </c>
      <c r="B37" s="16" t="n"/>
      <c r="C37" s="16" t="n"/>
      <c r="D37" s="16" t="n"/>
      <c r="E37" s="16" t="n"/>
      <c r="F37" s="16" t="n"/>
      <c r="G37" s="16" t="n"/>
      <c r="H37" s="16"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row>
    <row r="38">
      <c r="A38" s="16" t="n">
        <v>33</v>
      </c>
      <c r="B38" s="16" t="n"/>
      <c r="C38" s="16" t="n"/>
      <c r="D38" s="16" t="n"/>
      <c r="E38" s="16" t="n"/>
      <c r="F38" s="16" t="n"/>
      <c r="G38" s="16" t="n"/>
      <c r="H38" s="16"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row>
    <row r="39">
      <c r="A39" s="16" t="n">
        <v>34</v>
      </c>
      <c r="B39" s="16" t="n"/>
      <c r="C39" s="16" t="n"/>
      <c r="D39" s="16" t="n"/>
      <c r="E39" s="16" t="n"/>
      <c r="F39" s="16" t="n"/>
      <c r="G39" s="16" t="n"/>
      <c r="H39" s="16"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row>
    <row r="40">
      <c r="A40" s="16" t="n">
        <v>35</v>
      </c>
      <c r="B40" s="16" t="n"/>
      <c r="C40" s="16" t="n"/>
      <c r="D40" s="16" t="n"/>
      <c r="E40" s="16" t="n"/>
      <c r="F40" s="16" t="n"/>
      <c r="G40" s="16" t="n"/>
      <c r="H40" s="16"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row>
    <row r="41">
      <c r="A41" s="16" t="n">
        <v>36</v>
      </c>
      <c r="B41" s="16" t="n"/>
      <c r="C41" s="16" t="n"/>
      <c r="D41" s="16" t="n"/>
      <c r="E41" s="16" t="n"/>
      <c r="F41" s="16" t="n"/>
      <c r="G41" s="16" t="n"/>
      <c r="H41" s="16"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row>
    <row r="42">
      <c r="A42" s="16" t="n">
        <v>37</v>
      </c>
      <c r="B42" s="16" t="n"/>
      <c r="C42" s="16" t="n"/>
      <c r="D42" s="16" t="n"/>
      <c r="E42" s="16" t="n"/>
      <c r="F42" s="16" t="n"/>
      <c r="G42" s="16" t="n"/>
      <c r="H42" s="16"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row>
    <row r="43">
      <c r="A43" s="16" t="n">
        <v>38</v>
      </c>
      <c r="B43" s="16" t="n"/>
      <c r="C43" s="16" t="n"/>
      <c r="D43" s="16" t="n"/>
      <c r="E43" s="16" t="n"/>
      <c r="F43" s="16" t="n"/>
      <c r="G43" s="16" t="n"/>
      <c r="H43" s="16"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row>
    <row r="44">
      <c r="A44" s="16" t="n">
        <v>39</v>
      </c>
      <c r="B44" s="16" t="n"/>
      <c r="C44" s="16" t="n"/>
      <c r="D44" s="16" t="n"/>
      <c r="E44" s="16" t="n"/>
      <c r="F44" s="16" t="n"/>
      <c r="G44" s="16" t="n"/>
      <c r="H44" s="16"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row>
    <row r="45">
      <c r="A45" s="16" t="n">
        <v>40</v>
      </c>
      <c r="B45" s="16" t="n"/>
      <c r="C45" s="16" t="n"/>
      <c r="D45" s="16" t="n"/>
      <c r="E45" s="16" t="n"/>
      <c r="F45" s="16" t="n"/>
      <c r="G45" s="16" t="n"/>
      <c r="H45" s="16"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row>
    <row r="46">
      <c r="A46" s="16" t="n">
        <v>41</v>
      </c>
      <c r="B46" s="16" t="n"/>
      <c r="C46" s="16" t="n"/>
      <c r="D46" s="16" t="n"/>
      <c r="E46" s="16" t="n"/>
      <c r="F46" s="16" t="n"/>
      <c r="G46" s="16" t="n"/>
      <c r="H46" s="16"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row>
    <row r="47">
      <c r="A47" s="16" t="n">
        <v>42</v>
      </c>
      <c r="B47" s="16" t="n"/>
      <c r="C47" s="16" t="n"/>
      <c r="D47" s="16" t="n"/>
      <c r="E47" s="16" t="n"/>
      <c r="F47" s="16" t="n"/>
      <c r="G47" s="16" t="n"/>
      <c r="H47" s="16"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row>
    <row r="48">
      <c r="A48" s="16" t="n">
        <v>43</v>
      </c>
      <c r="B48" s="16" t="n"/>
      <c r="C48" s="16" t="n"/>
      <c r="D48" s="16" t="n"/>
      <c r="E48" s="16" t="n"/>
      <c r="F48" s="16" t="n"/>
      <c r="G48" s="16" t="n"/>
      <c r="H48" s="16"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row>
    <row r="49">
      <c r="A49" s="16" t="n">
        <v>44</v>
      </c>
      <c r="B49" s="16" t="n"/>
      <c r="C49" s="16" t="n"/>
      <c r="D49" s="16" t="n"/>
      <c r="E49" s="16" t="n"/>
      <c r="F49" s="16" t="n"/>
      <c r="G49" s="16" t="n"/>
      <c r="H49" s="16"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row>
    <row r="50">
      <c r="A50" s="16" t="n">
        <v>45</v>
      </c>
      <c r="B50" s="16" t="n"/>
      <c r="C50" s="16" t="n"/>
      <c r="D50" s="16" t="n"/>
      <c r="E50" s="16" t="n"/>
      <c r="F50" s="16" t="n"/>
      <c r="G50" s="16" t="n"/>
      <c r="H50" s="16"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row>
    <row r="51">
      <c r="A51" s="16" t="n">
        <v>46</v>
      </c>
      <c r="B51" s="16" t="n"/>
      <c r="C51" s="16" t="n"/>
      <c r="D51" s="16" t="n"/>
      <c r="E51" s="16" t="n"/>
      <c r="F51" s="16" t="n"/>
      <c r="G51" s="16" t="n"/>
      <c r="H51" s="16"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row>
    <row r="52">
      <c r="A52" s="16" t="n">
        <v>47</v>
      </c>
      <c r="B52" s="16" t="n"/>
      <c r="C52" s="16" t="n"/>
      <c r="D52" s="16" t="n"/>
      <c r="E52" s="16" t="n"/>
      <c r="F52" s="16" t="n"/>
      <c r="G52" s="16" t="n"/>
      <c r="H52" s="16"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row>
    <row r="53">
      <c r="A53" s="16" t="n">
        <v>48</v>
      </c>
      <c r="B53" s="16" t="n"/>
      <c r="C53" s="16" t="n"/>
      <c r="D53" s="16" t="n"/>
      <c r="E53" s="16" t="n"/>
      <c r="F53" s="16" t="n"/>
      <c r="G53" s="16" t="n"/>
      <c r="H53" s="16"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row>
    <row r="54">
      <c r="A54" s="16" t="n">
        <v>49</v>
      </c>
      <c r="B54" s="16" t="n"/>
      <c r="C54" s="16" t="n"/>
      <c r="D54" s="16" t="n"/>
      <c r="E54" s="16" t="n"/>
      <c r="F54" s="16" t="n"/>
      <c r="G54" s="16" t="n"/>
      <c r="H54" s="16"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row>
    <row r="55">
      <c r="A55" s="16" t="n">
        <v>50</v>
      </c>
      <c r="B55" s="16" t="n"/>
      <c r="C55" s="16" t="n"/>
      <c r="D55" s="16" t="n"/>
      <c r="E55" s="16" t="n"/>
      <c r="F55" s="16" t="n"/>
      <c r="G55" s="16" t="n"/>
      <c r="H55" s="16"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row>
    <row r="56">
      <c r="A56" s="16" t="n">
        <v>51</v>
      </c>
      <c r="B56" s="16" t="n"/>
      <c r="C56" s="16" t="n"/>
      <c r="D56" s="16" t="n"/>
      <c r="E56" s="16" t="n"/>
      <c r="F56" s="16" t="n"/>
      <c r="G56" s="16" t="n"/>
      <c r="H56" s="16"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row>
    <row r="57">
      <c r="A57" s="16" t="n">
        <v>52</v>
      </c>
      <c r="B57" s="16" t="n"/>
      <c r="C57" s="16" t="n"/>
      <c r="D57" s="16" t="n"/>
      <c r="E57" s="16" t="n"/>
      <c r="F57" s="16" t="n"/>
      <c r="G57" s="16" t="n"/>
      <c r="H57" s="16"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row>
    <row r="58">
      <c r="A58" s="16" t="n">
        <v>53</v>
      </c>
      <c r="B58" s="16" t="n"/>
      <c r="C58" s="16" t="n"/>
      <c r="D58" s="16" t="n"/>
      <c r="E58" s="16" t="n"/>
      <c r="F58" s="16" t="n"/>
      <c r="G58" s="16" t="n"/>
      <c r="H58" s="16"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row>
    <row r="59">
      <c r="A59" s="16" t="n">
        <v>54</v>
      </c>
      <c r="B59" s="16" t="n"/>
      <c r="C59" s="16" t="n"/>
      <c r="D59" s="16" t="n"/>
      <c r="E59" s="16" t="n"/>
      <c r="F59" s="16" t="n"/>
      <c r="G59" s="16" t="n"/>
      <c r="H59" s="16"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row>
    <row r="60">
      <c r="A60" s="16" t="n">
        <v>55</v>
      </c>
      <c r="B60" s="16" t="n"/>
      <c r="C60" s="16" t="n"/>
      <c r="D60" s="16" t="n"/>
      <c r="E60" s="16" t="n"/>
      <c r="F60" s="16" t="n"/>
      <c r="G60" s="16" t="n"/>
      <c r="H60" s="16"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row>
    <row r="61">
      <c r="A61" s="16" t="n">
        <v>56</v>
      </c>
      <c r="B61" s="16" t="n"/>
      <c r="C61" s="16" t="n"/>
      <c r="D61" s="16" t="n"/>
      <c r="E61" s="16" t="n"/>
      <c r="F61" s="16" t="n"/>
      <c r="G61" s="16" t="n"/>
      <c r="H61" s="16"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row>
    <row r="62">
      <c r="A62" s="16" t="n">
        <v>57</v>
      </c>
      <c r="B62" s="16" t="n"/>
      <c r="C62" s="16" t="n"/>
      <c r="D62" s="16" t="n"/>
      <c r="E62" s="16" t="n"/>
      <c r="F62" s="16" t="n"/>
      <c r="G62" s="16" t="n"/>
      <c r="H62" s="16"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row>
    <row r="63">
      <c r="A63" s="16" t="n">
        <v>58</v>
      </c>
      <c r="B63" s="16" t="n"/>
      <c r="C63" s="16" t="n"/>
      <c r="D63" s="16" t="n"/>
      <c r="E63" s="16" t="n"/>
      <c r="F63" s="16" t="n"/>
      <c r="G63" s="16" t="n"/>
      <c r="H63" s="16"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row>
    <row r="64">
      <c r="A64" s="16" t="n">
        <v>59</v>
      </c>
      <c r="B64" s="16" t="n"/>
      <c r="C64" s="16" t="n"/>
      <c r="D64" s="16" t="n"/>
      <c r="E64" s="16" t="n"/>
      <c r="F64" s="16" t="n"/>
      <c r="G64" s="16" t="n"/>
      <c r="H64" s="16"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row>
    <row r="65">
      <c r="A65" s="16" t="n">
        <v>60</v>
      </c>
      <c r="B65" s="16" t="n"/>
      <c r="C65" s="16" t="n"/>
      <c r="D65" s="16" t="n"/>
      <c r="E65" s="16" t="n"/>
      <c r="F65" s="16" t="n"/>
      <c r="G65" s="16" t="n"/>
      <c r="H65" s="16"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row>
    <row r="66">
      <c r="A66" s="16" t="n">
        <v>61</v>
      </c>
      <c r="B66" s="16" t="n"/>
      <c r="C66" s="16" t="n"/>
      <c r="D66" s="16" t="n"/>
      <c r="E66" s="16" t="n"/>
      <c r="F66" s="16" t="n"/>
      <c r="G66" s="16" t="n"/>
      <c r="H66" s="16"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row>
    <row r="67">
      <c r="A67" s="16" t="n">
        <v>62</v>
      </c>
      <c r="B67" s="16" t="n"/>
      <c r="C67" s="16" t="n"/>
      <c r="D67" s="16" t="n"/>
      <c r="E67" s="16" t="n"/>
      <c r="F67" s="16" t="n"/>
      <c r="G67" s="16" t="n"/>
      <c r="H67" s="16"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row>
    <row r="68">
      <c r="A68" s="16" t="n">
        <v>63</v>
      </c>
      <c r="B68" s="16" t="n"/>
      <c r="C68" s="16" t="n"/>
      <c r="D68" s="16" t="n"/>
      <c r="E68" s="16" t="n"/>
      <c r="F68" s="16" t="n"/>
      <c r="G68" s="16" t="n"/>
      <c r="H68" s="16"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row>
    <row r="69">
      <c r="A69" s="16" t="n">
        <v>64</v>
      </c>
      <c r="B69" s="16" t="n"/>
      <c r="C69" s="16" t="n"/>
      <c r="D69" s="16" t="n"/>
      <c r="E69" s="16" t="n"/>
      <c r="F69" s="16" t="n"/>
      <c r="G69" s="16" t="n"/>
      <c r="H69" s="16"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row>
    <row r="70">
      <c r="A70" s="16" t="n">
        <v>65</v>
      </c>
      <c r="B70" s="16" t="n"/>
      <c r="C70" s="16" t="n"/>
      <c r="D70" s="16" t="n"/>
      <c r="E70" s="16" t="n"/>
      <c r="F70" s="16" t="n"/>
      <c r="G70" s="16" t="n"/>
      <c r="H70" s="16"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row>
    <row r="71">
      <c r="A71" s="16" t="n">
        <v>66</v>
      </c>
      <c r="B71" s="16" t="n"/>
      <c r="C71" s="16" t="n"/>
      <c r="D71" s="16" t="n"/>
      <c r="E71" s="16" t="n"/>
      <c r="F71" s="16" t="n"/>
      <c r="G71" s="16" t="n"/>
      <c r="H71" s="16"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row>
    <row r="72">
      <c r="A72" s="16" t="n">
        <v>67</v>
      </c>
      <c r="B72" s="16" t="n"/>
      <c r="C72" s="16" t="n"/>
      <c r="D72" s="16" t="n"/>
      <c r="E72" s="16" t="n"/>
      <c r="F72" s="16" t="n"/>
      <c r="G72" s="16" t="n"/>
      <c r="H72" s="16"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row>
    <row r="73">
      <c r="A73" s="16" t="n">
        <v>68</v>
      </c>
      <c r="B73" s="16" t="n"/>
      <c r="C73" s="16" t="n"/>
      <c r="D73" s="16" t="n"/>
      <c r="E73" s="16" t="n"/>
      <c r="F73" s="16" t="n"/>
      <c r="G73" s="16" t="n"/>
      <c r="H73" s="16"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row>
    <row r="74">
      <c r="A74" s="16" t="n">
        <v>69</v>
      </c>
      <c r="B74" s="16" t="n"/>
      <c r="C74" s="16" t="n"/>
      <c r="D74" s="16" t="n"/>
      <c r="E74" s="16" t="n"/>
      <c r="F74" s="16" t="n"/>
      <c r="G74" s="16" t="n"/>
      <c r="H74" s="16"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row>
    <row r="75">
      <c r="A75" s="16" t="n">
        <v>70</v>
      </c>
      <c r="B75" s="16" t="n"/>
      <c r="C75" s="16" t="n"/>
      <c r="D75" s="16" t="n"/>
      <c r="E75" s="16" t="n"/>
      <c r="F75" s="16" t="n"/>
      <c r="G75" s="16" t="n"/>
      <c r="H75" s="16"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row>
    <row r="76">
      <c r="A76" s="16" t="n">
        <v>71</v>
      </c>
      <c r="B76" s="16" t="n"/>
      <c r="C76" s="16" t="n"/>
      <c r="D76" s="16" t="n"/>
      <c r="E76" s="16" t="n"/>
      <c r="F76" s="16" t="n"/>
      <c r="G76" s="16" t="n"/>
      <c r="H76" s="16"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row>
    <row r="77">
      <c r="A77" s="16" t="n">
        <v>72</v>
      </c>
      <c r="B77" s="16" t="n"/>
      <c r="C77" s="16" t="n"/>
      <c r="D77" s="16" t="n"/>
      <c r="E77" s="16" t="n"/>
      <c r="F77" s="16" t="n"/>
      <c r="G77" s="16" t="n"/>
      <c r="H77" s="16"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row>
    <row r="78">
      <c r="A78" s="16" t="n">
        <v>73</v>
      </c>
      <c r="B78" s="16" t="n"/>
      <c r="C78" s="16" t="n"/>
      <c r="D78" s="16" t="n"/>
      <c r="E78" s="16" t="n"/>
      <c r="F78" s="16" t="n"/>
      <c r="G78" s="16" t="n"/>
      <c r="H78" s="16"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row>
    <row r="79">
      <c r="A79" s="16" t="n">
        <v>74</v>
      </c>
      <c r="B79" s="16" t="n"/>
      <c r="C79" s="16" t="n"/>
      <c r="D79" s="16" t="n"/>
      <c r="E79" s="16" t="n"/>
      <c r="F79" s="16" t="n"/>
      <c r="G79" s="16" t="n"/>
      <c r="H79" s="16"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row>
    <row r="80">
      <c r="A80" s="16" t="n">
        <v>75</v>
      </c>
      <c r="B80" s="16" t="n"/>
      <c r="C80" s="16" t="n"/>
      <c r="D80" s="16" t="n"/>
      <c r="E80" s="16" t="n"/>
      <c r="F80" s="16" t="n"/>
      <c r="G80" s="16" t="n"/>
      <c r="H80" s="16"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row>
    <row r="81">
      <c r="A81" s="16" t="n">
        <v>76</v>
      </c>
      <c r="B81" s="16" t="n"/>
      <c r="C81" s="16" t="n"/>
      <c r="D81" s="16" t="n"/>
      <c r="E81" s="16" t="n"/>
      <c r="F81" s="16" t="n"/>
      <c r="G81" s="16" t="n"/>
      <c r="H81" s="16"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row>
    <row r="82">
      <c r="A82" s="16" t="n">
        <v>77</v>
      </c>
      <c r="B82" s="16" t="n"/>
      <c r="C82" s="16" t="n"/>
      <c r="D82" s="16" t="n"/>
      <c r="E82" s="16" t="n"/>
      <c r="F82" s="16" t="n"/>
      <c r="G82" s="16" t="n"/>
      <c r="H82" s="16"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row>
    <row r="83">
      <c r="A83" s="16" t="n">
        <v>78</v>
      </c>
      <c r="B83" s="16" t="n"/>
      <c r="C83" s="16" t="n"/>
      <c r="D83" s="16" t="n"/>
      <c r="E83" s="16" t="n"/>
      <c r="F83" s="16" t="n"/>
      <c r="G83" s="16" t="n"/>
      <c r="H83" s="16"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row>
    <row r="84">
      <c r="A84" s="16" t="n">
        <v>79</v>
      </c>
      <c r="B84" s="16" t="n"/>
      <c r="C84" s="16" t="n"/>
      <c r="D84" s="16" t="n"/>
      <c r="E84" s="16" t="n"/>
      <c r="F84" s="16" t="n"/>
      <c r="G84" s="16" t="n"/>
      <c r="H84" s="16"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row>
    <row r="85">
      <c r="A85" s="16" t="n">
        <v>80</v>
      </c>
      <c r="B85" s="16" t="n"/>
      <c r="C85" s="16" t="n"/>
      <c r="D85" s="16" t="n"/>
      <c r="E85" s="16" t="n"/>
      <c r="F85" s="16" t="n"/>
      <c r="G85" s="16" t="n"/>
      <c r="H85" s="16"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row>
    <row r="86">
      <c r="A86" s="16" t="n">
        <v>81</v>
      </c>
      <c r="B86" s="16" t="n"/>
      <c r="C86" s="16" t="n"/>
      <c r="D86" s="16" t="n"/>
      <c r="E86" s="16" t="n"/>
      <c r="F86" s="16" t="n"/>
      <c r="G86" s="16" t="n"/>
      <c r="H86" s="16"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row>
    <row r="87">
      <c r="A87" s="16" t="n">
        <v>82</v>
      </c>
      <c r="B87" s="16" t="n"/>
      <c r="C87" s="16" t="n"/>
      <c r="D87" s="16" t="n"/>
      <c r="E87" s="16" t="n"/>
      <c r="F87" s="16" t="n"/>
      <c r="G87" s="16" t="n"/>
      <c r="H87" s="16"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row>
    <row r="88">
      <c r="A88" s="16" t="n">
        <v>83</v>
      </c>
      <c r="B88" s="16" t="n"/>
      <c r="C88" s="16" t="n"/>
      <c r="D88" s="16" t="n"/>
      <c r="E88" s="16" t="n"/>
      <c r="F88" s="16" t="n"/>
      <c r="G88" s="16" t="n"/>
      <c r="H88" s="16"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row>
    <row r="89">
      <c r="A89" s="16" t="n">
        <v>84</v>
      </c>
      <c r="B89" s="16" t="n"/>
      <c r="C89" s="16" t="n"/>
      <c r="D89" s="16" t="n"/>
      <c r="E89" s="16" t="n"/>
      <c r="F89" s="16" t="n"/>
      <c r="G89" s="16" t="n"/>
      <c r="H89" s="16"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row>
    <row r="90">
      <c r="A90" s="16" t="n">
        <v>85</v>
      </c>
      <c r="B90" s="16" t="n"/>
      <c r="C90" s="16" t="n"/>
      <c r="D90" s="16" t="n"/>
      <c r="E90" s="16" t="n"/>
      <c r="F90" s="16" t="n"/>
      <c r="G90" s="16" t="n"/>
      <c r="H90" s="16"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row>
    <row r="91">
      <c r="A91" s="16" t="n">
        <v>86</v>
      </c>
      <c r="B91" s="16" t="n"/>
      <c r="C91" s="16" t="n"/>
      <c r="D91" s="16" t="n"/>
      <c r="E91" s="16" t="n"/>
      <c r="F91" s="16" t="n"/>
      <c r="G91" s="16" t="n"/>
      <c r="H91" s="16"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row>
    <row r="92">
      <c r="A92" s="16" t="n">
        <v>87</v>
      </c>
      <c r="B92" s="16" t="n"/>
      <c r="C92" s="16" t="n"/>
      <c r="D92" s="16" t="n"/>
      <c r="E92" s="16" t="n"/>
      <c r="F92" s="16" t="n"/>
      <c r="G92" s="16" t="n"/>
      <c r="H92" s="16"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row>
    <row r="93">
      <c r="A93" s="16" t="n">
        <v>88</v>
      </c>
      <c r="B93" s="16" t="n"/>
      <c r="C93" s="16" t="n"/>
      <c r="D93" s="16" t="n"/>
      <c r="E93" s="16" t="n"/>
      <c r="F93" s="16" t="n"/>
      <c r="G93" s="16" t="n"/>
      <c r="H93" s="16"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row>
    <row r="94">
      <c r="A94" s="16" t="n">
        <v>89</v>
      </c>
      <c r="B94" s="16" t="n"/>
      <c r="C94" s="16" t="n"/>
      <c r="D94" s="16" t="n"/>
      <c r="E94" s="16" t="n"/>
      <c r="F94" s="16" t="n"/>
      <c r="G94" s="16" t="n"/>
      <c r="H94" s="16"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row>
    <row r="95">
      <c r="A95" s="16" t="n">
        <v>90</v>
      </c>
      <c r="B95" s="16" t="n"/>
      <c r="C95" s="16" t="n"/>
      <c r="D95" s="16" t="n"/>
      <c r="E95" s="16" t="n"/>
      <c r="F95" s="16" t="n"/>
      <c r="G95" s="16" t="n"/>
      <c r="H95" s="16"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row>
    <row r="96">
      <c r="A96" s="16" t="n">
        <v>91</v>
      </c>
      <c r="B96" s="16" t="n"/>
      <c r="C96" s="16" t="n"/>
      <c r="D96" s="16" t="n"/>
      <c r="E96" s="16" t="n"/>
      <c r="F96" s="16" t="n"/>
      <c r="G96" s="16" t="n"/>
      <c r="H96" s="16"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row>
    <row r="97">
      <c r="A97" s="16" t="n">
        <v>92</v>
      </c>
      <c r="B97" s="16" t="n"/>
      <c r="C97" s="16" t="n"/>
      <c r="D97" s="16" t="n"/>
      <c r="E97" s="16" t="n"/>
      <c r="F97" s="16" t="n"/>
      <c r="G97" s="16" t="n"/>
      <c r="H97" s="16"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row>
    <row r="98">
      <c r="A98" s="16" t="n">
        <v>93</v>
      </c>
      <c r="B98" s="16" t="n"/>
      <c r="C98" s="16" t="n"/>
      <c r="D98" s="16" t="n"/>
      <c r="E98" s="16" t="n"/>
      <c r="F98" s="16" t="n"/>
      <c r="G98" s="16" t="n"/>
      <c r="H98" s="16"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row>
    <row r="99">
      <c r="A99" s="16" t="n">
        <v>94</v>
      </c>
      <c r="B99" s="16" t="n"/>
      <c r="C99" s="16" t="n"/>
      <c r="D99" s="16" t="n"/>
      <c r="E99" s="16" t="n"/>
      <c r="F99" s="16" t="n"/>
      <c r="G99" s="16" t="n"/>
      <c r="H99" s="16"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row>
    <row r="100">
      <c r="A100" s="16" t="n">
        <v>95</v>
      </c>
      <c r="B100" s="16" t="n"/>
      <c r="C100" s="16" t="n"/>
      <c r="D100" s="16" t="n"/>
      <c r="E100" s="16" t="n"/>
      <c r="F100" s="16" t="n"/>
      <c r="G100" s="16" t="n"/>
      <c r="H100" s="16"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row>
    <row r="101">
      <c r="A101" s="16" t="n">
        <v>96</v>
      </c>
      <c r="B101" s="16" t="n"/>
      <c r="C101" s="16" t="n"/>
      <c r="D101" s="16" t="n"/>
      <c r="E101" s="16" t="n"/>
      <c r="F101" s="16" t="n"/>
      <c r="G101" s="16" t="n"/>
      <c r="H101" s="16"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row>
    <row r="102">
      <c r="A102" s="16" t="n">
        <v>97</v>
      </c>
      <c r="B102" s="16" t="n"/>
      <c r="C102" s="16" t="n"/>
      <c r="D102" s="16" t="n"/>
      <c r="E102" s="16" t="n"/>
      <c r="F102" s="16" t="n"/>
      <c r="G102" s="16" t="n"/>
      <c r="H102" s="16"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row>
    <row r="103">
      <c r="A103" s="16" t="n">
        <v>98</v>
      </c>
      <c r="B103" s="16" t="n"/>
      <c r="C103" s="16" t="n"/>
      <c r="D103" s="16" t="n"/>
      <c r="E103" s="16" t="n"/>
      <c r="F103" s="16" t="n"/>
      <c r="G103" s="16" t="n"/>
      <c r="H103" s="16"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row>
    <row r="104">
      <c r="A104" s="16" t="n">
        <v>99</v>
      </c>
      <c r="B104" s="16" t="n"/>
      <c r="C104" s="16" t="n"/>
      <c r="D104" s="16" t="n"/>
      <c r="E104" s="16" t="n"/>
      <c r="F104" s="16" t="n"/>
      <c r="G104" s="16" t="n"/>
      <c r="H104" s="16"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row>
    <row r="105">
      <c r="A105" s="16" t="n">
        <v>100</v>
      </c>
      <c r="B105" s="16" t="n"/>
      <c r="C105" s="16" t="n"/>
      <c r="D105" s="16" t="n"/>
      <c r="E105" s="16" t="n"/>
      <c r="F105" s="16" t="n"/>
      <c r="G105" s="16" t="n"/>
      <c r="H105" s="16"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row>
    <row r="106">
      <c r="A106" s="16" t="n">
        <v>101</v>
      </c>
      <c r="B106" s="16" t="n"/>
      <c r="C106" s="16" t="n"/>
      <c r="D106" s="16" t="n"/>
      <c r="E106" s="16" t="n"/>
      <c r="F106" s="16" t="n"/>
      <c r="G106" s="16" t="n"/>
      <c r="H106" s="16"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row>
    <row r="107">
      <c r="A107" s="16" t="n">
        <v>102</v>
      </c>
      <c r="B107" s="16" t="n"/>
      <c r="C107" s="16" t="n"/>
      <c r="D107" s="16" t="n"/>
      <c r="E107" s="16" t="n"/>
      <c r="F107" s="16" t="n"/>
      <c r="G107" s="16" t="n"/>
      <c r="H107" s="16"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row>
    <row r="108">
      <c r="A108" s="16" t="n">
        <v>103</v>
      </c>
      <c r="B108" s="16" t="n"/>
      <c r="C108" s="16" t="n"/>
      <c r="D108" s="16" t="n"/>
      <c r="E108" s="16" t="n"/>
      <c r="F108" s="16" t="n"/>
      <c r="G108" s="16" t="n"/>
      <c r="H108" s="16"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row>
    <row r="109">
      <c r="A109" s="16" t="n">
        <v>104</v>
      </c>
      <c r="B109" s="16" t="n"/>
      <c r="C109" s="16" t="n"/>
      <c r="D109" s="16" t="n"/>
      <c r="E109" s="16" t="n"/>
      <c r="F109" s="16" t="n"/>
      <c r="G109" s="16" t="n"/>
      <c r="H109" s="16"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row>
    <row r="110">
      <c r="A110" s="16" t="n">
        <v>105</v>
      </c>
      <c r="B110" s="16" t="n"/>
      <c r="C110" s="16" t="n"/>
      <c r="D110" s="16" t="n"/>
      <c r="E110" s="16" t="n"/>
      <c r="F110" s="16" t="n"/>
      <c r="G110" s="16" t="n"/>
      <c r="H110" s="16"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row>
    <row r="111">
      <c r="A111" s="16" t="n">
        <v>106</v>
      </c>
      <c r="B111" s="16" t="n"/>
      <c r="C111" s="16" t="n"/>
      <c r="D111" s="16" t="n"/>
      <c r="E111" s="16" t="n"/>
      <c r="F111" s="16" t="n"/>
      <c r="G111" s="16" t="n"/>
      <c r="H111" s="16"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row>
    <row r="112">
      <c r="A112" s="16" t="n">
        <v>107</v>
      </c>
      <c r="B112" s="16" t="n"/>
      <c r="C112" s="16" t="n"/>
      <c r="D112" s="16" t="n"/>
      <c r="E112" s="16" t="n"/>
      <c r="F112" s="16" t="n"/>
      <c r="G112" s="16" t="n"/>
      <c r="H112" s="16"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row>
    <row r="113">
      <c r="A113" s="16" t="n">
        <v>108</v>
      </c>
      <c r="B113" s="16" t="n"/>
      <c r="C113" s="16" t="n"/>
      <c r="D113" s="16" t="n"/>
      <c r="E113" s="16" t="n"/>
      <c r="F113" s="16" t="n"/>
      <c r="G113" s="16" t="n"/>
      <c r="H113" s="16"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row>
    <row r="114">
      <c r="A114" s="16" t="n">
        <v>109</v>
      </c>
      <c r="B114" s="16" t="n"/>
      <c r="C114" s="16" t="n"/>
      <c r="D114" s="16" t="n"/>
      <c r="E114" s="16" t="n"/>
      <c r="F114" s="16" t="n"/>
      <c r="G114" s="16" t="n"/>
      <c r="H114" s="16"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row>
    <row r="115">
      <c r="A115" s="16" t="n">
        <v>110</v>
      </c>
      <c r="B115" s="16" t="n"/>
      <c r="C115" s="16" t="n"/>
      <c r="D115" s="16" t="n"/>
      <c r="E115" s="16" t="n"/>
      <c r="F115" s="16" t="n"/>
      <c r="G115" s="16" t="n"/>
      <c r="H115" s="16"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row>
    <row r="116">
      <c r="A116" s="16" t="n">
        <v>111</v>
      </c>
      <c r="B116" s="16" t="n"/>
      <c r="C116" s="16" t="n"/>
      <c r="D116" s="16" t="n"/>
      <c r="E116" s="16" t="n"/>
      <c r="F116" s="16" t="n"/>
      <c r="G116" s="16" t="n"/>
      <c r="H116" s="16"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row>
    <row r="117">
      <c r="A117" s="16" t="n">
        <v>112</v>
      </c>
      <c r="B117" s="16" t="n"/>
      <c r="C117" s="16" t="n"/>
      <c r="D117" s="16" t="n"/>
      <c r="E117" s="16" t="n"/>
      <c r="F117" s="16" t="n"/>
      <c r="G117" s="16" t="n"/>
      <c r="H117" s="16"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row>
    <row r="118">
      <c r="A118" s="16" t="n">
        <v>113</v>
      </c>
      <c r="B118" s="16" t="n"/>
      <c r="C118" s="16" t="n"/>
      <c r="D118" s="16" t="n"/>
      <c r="E118" s="16" t="n"/>
      <c r="F118" s="16" t="n"/>
      <c r="G118" s="16" t="n"/>
      <c r="H118" s="16"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row>
    <row r="119">
      <c r="A119" s="16" t="n">
        <v>114</v>
      </c>
      <c r="B119" s="16" t="n"/>
      <c r="C119" s="16" t="n"/>
      <c r="D119" s="16" t="n"/>
      <c r="E119" s="16" t="n"/>
      <c r="F119" s="16" t="n"/>
      <c r="G119" s="16" t="n"/>
      <c r="H119" s="16"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row>
    <row r="120">
      <c r="A120" s="16" t="n">
        <v>115</v>
      </c>
      <c r="B120" s="16" t="n"/>
      <c r="C120" s="16" t="n"/>
      <c r="D120" s="16" t="n"/>
      <c r="E120" s="16" t="n"/>
      <c r="F120" s="16" t="n"/>
      <c r="G120" s="16" t="n"/>
      <c r="H120" s="16"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row>
    <row r="121">
      <c r="A121" s="16" t="n">
        <v>116</v>
      </c>
      <c r="B121" s="16" t="n"/>
      <c r="C121" s="16" t="n"/>
      <c r="D121" s="16" t="n"/>
      <c r="E121" s="16" t="n"/>
      <c r="F121" s="16" t="n"/>
      <c r="G121" s="16" t="n"/>
      <c r="H121" s="16"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row>
    <row r="122">
      <c r="A122" s="16" t="n">
        <v>117</v>
      </c>
      <c r="B122" s="16" t="n"/>
      <c r="C122" s="16" t="n"/>
      <c r="D122" s="16" t="n"/>
      <c r="E122" s="16" t="n"/>
      <c r="F122" s="16" t="n"/>
      <c r="G122" s="16" t="n"/>
      <c r="H122" s="16"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row>
    <row r="123">
      <c r="A123" s="16" t="n">
        <v>118</v>
      </c>
      <c r="B123" s="16" t="n"/>
      <c r="C123" s="16" t="n"/>
      <c r="D123" s="16" t="n"/>
      <c r="E123" s="16" t="n"/>
      <c r="F123" s="16" t="n"/>
      <c r="G123" s="16" t="n"/>
      <c r="H123" s="16"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row>
    <row r="124">
      <c r="A124" s="16" t="n">
        <v>119</v>
      </c>
      <c r="B124" s="16" t="n"/>
      <c r="C124" s="16" t="n"/>
      <c r="D124" s="16" t="n"/>
      <c r="E124" s="16" t="n"/>
      <c r="F124" s="16" t="n"/>
      <c r="G124" s="16" t="n"/>
      <c r="H124" s="16"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row>
    <row r="125">
      <c r="A125" s="16" t="n">
        <v>120</v>
      </c>
      <c r="B125" s="16" t="n"/>
      <c r="C125" s="16" t="n"/>
      <c r="D125" s="16" t="n"/>
      <c r="E125" s="16" t="n"/>
      <c r="F125" s="16" t="n"/>
      <c r="G125" s="16" t="n"/>
      <c r="H125" s="16"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row>
    <row r="126">
      <c r="A126" s="16" t="n">
        <v>121</v>
      </c>
      <c r="B126" s="16" t="n"/>
      <c r="C126" s="16" t="n"/>
      <c r="D126" s="16" t="n"/>
      <c r="E126" s="16" t="n"/>
      <c r="F126" s="16" t="n"/>
      <c r="G126" s="16" t="n"/>
      <c r="H126" s="16"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row>
    <row r="127">
      <c r="A127" s="16" t="n">
        <v>122</v>
      </c>
      <c r="B127" s="16" t="n"/>
      <c r="C127" s="16" t="n"/>
      <c r="D127" s="16" t="n"/>
      <c r="E127" s="16" t="n"/>
      <c r="F127" s="16" t="n"/>
      <c r="G127" s="16" t="n"/>
      <c r="H127" s="16"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row>
    <row r="128">
      <c r="A128" s="16" t="n">
        <v>123</v>
      </c>
      <c r="B128" s="16" t="n"/>
      <c r="C128" s="16" t="n"/>
      <c r="D128" s="16" t="n"/>
      <c r="E128" s="16" t="n"/>
      <c r="F128" s="16" t="n"/>
      <c r="G128" s="16" t="n"/>
      <c r="H128" s="16"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row>
    <row r="129">
      <c r="A129" s="16" t="n">
        <v>124</v>
      </c>
      <c r="B129" s="16" t="n"/>
      <c r="C129" s="16" t="n"/>
      <c r="D129" s="16" t="n"/>
      <c r="E129" s="16" t="n"/>
      <c r="F129" s="16" t="n"/>
      <c r="G129" s="16" t="n"/>
      <c r="H129" s="16"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row>
    <row r="130">
      <c r="A130" s="16" t="n">
        <v>125</v>
      </c>
      <c r="B130" s="16" t="n"/>
      <c r="C130" s="16" t="n"/>
      <c r="D130" s="16" t="n"/>
      <c r="E130" s="16" t="n"/>
      <c r="F130" s="16" t="n"/>
      <c r="G130" s="16" t="n"/>
      <c r="H130" s="16"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row>
    <row r="131">
      <c r="A131" s="16" t="n">
        <v>126</v>
      </c>
      <c r="B131" s="16" t="n"/>
      <c r="C131" s="16" t="n"/>
      <c r="D131" s="16" t="n"/>
      <c r="E131" s="16" t="n"/>
      <c r="F131" s="16" t="n"/>
      <c r="G131" s="16" t="n"/>
      <c r="H131" s="16"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row>
    <row r="132">
      <c r="A132" s="16" t="n">
        <v>127</v>
      </c>
      <c r="B132" s="16" t="n"/>
      <c r="C132" s="16" t="n"/>
      <c r="D132" s="16" t="n"/>
      <c r="E132" s="16" t="n"/>
      <c r="F132" s="16" t="n"/>
      <c r="G132" s="16" t="n"/>
      <c r="H132" s="16"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row>
    <row r="133">
      <c r="A133" s="16" t="n">
        <v>128</v>
      </c>
      <c r="B133" s="16" t="n"/>
      <c r="C133" s="16" t="n"/>
      <c r="D133" s="16" t="n"/>
      <c r="E133" s="16" t="n"/>
      <c r="F133" s="16" t="n"/>
      <c r="G133" s="16" t="n"/>
      <c r="H133" s="16"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row>
    <row r="134">
      <c r="A134" s="16" t="n">
        <v>129</v>
      </c>
      <c r="B134" s="16" t="n"/>
      <c r="C134" s="16" t="n"/>
      <c r="D134" s="16" t="n"/>
      <c r="E134" s="16" t="n"/>
      <c r="F134" s="16" t="n"/>
      <c r="G134" s="16" t="n"/>
      <c r="H134" s="16"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row>
    <row r="135">
      <c r="A135" s="16" t="n">
        <v>130</v>
      </c>
      <c r="B135" s="16" t="n"/>
      <c r="C135" s="16" t="n"/>
      <c r="D135" s="16" t="n"/>
      <c r="E135" s="16" t="n"/>
      <c r="F135" s="16" t="n"/>
      <c r="G135" s="16" t="n"/>
      <c r="H135" s="16"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row>
    <row r="136">
      <c r="A136" s="16" t="n">
        <v>131</v>
      </c>
      <c r="B136" s="16" t="n"/>
      <c r="C136" s="16" t="n"/>
      <c r="D136" s="16" t="n"/>
      <c r="E136" s="16" t="n"/>
      <c r="F136" s="16" t="n"/>
      <c r="G136" s="16" t="n"/>
      <c r="H136" s="16"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row>
    <row r="137">
      <c r="A137" s="16" t="n">
        <v>132</v>
      </c>
      <c r="B137" s="16" t="n"/>
      <c r="C137" s="16" t="n"/>
      <c r="D137" s="16" t="n"/>
      <c r="E137" s="16" t="n"/>
      <c r="F137" s="16" t="n"/>
      <c r="G137" s="16" t="n"/>
      <c r="H137" s="16"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row>
    <row r="138">
      <c r="A138" s="16" t="n">
        <v>133</v>
      </c>
      <c r="B138" s="16" t="n"/>
      <c r="C138" s="16" t="n"/>
      <c r="D138" s="16" t="n"/>
      <c r="E138" s="16" t="n"/>
      <c r="F138" s="16" t="n"/>
      <c r="G138" s="16" t="n"/>
      <c r="H138" s="16"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row>
    <row r="139">
      <c r="A139" s="16" t="n">
        <v>134</v>
      </c>
      <c r="B139" s="16" t="n"/>
      <c r="C139" s="16" t="n"/>
      <c r="D139" s="16" t="n"/>
      <c r="E139" s="16" t="n"/>
      <c r="F139" s="16" t="n"/>
      <c r="G139" s="16" t="n"/>
      <c r="H139" s="16"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row>
    <row r="140">
      <c r="A140" s="16" t="n">
        <v>135</v>
      </c>
      <c r="B140" s="16" t="n"/>
      <c r="C140" s="16" t="n"/>
      <c r="D140" s="16" t="n"/>
      <c r="E140" s="16" t="n"/>
      <c r="F140" s="16" t="n"/>
      <c r="G140" s="16" t="n"/>
      <c r="H140" s="16"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row>
    <row r="141">
      <c r="A141" s="16" t="n">
        <v>136</v>
      </c>
      <c r="B141" s="16" t="n"/>
      <c r="C141" s="16" t="n"/>
      <c r="D141" s="16" t="n"/>
      <c r="E141" s="16" t="n"/>
      <c r="F141" s="16" t="n"/>
      <c r="G141" s="16" t="n"/>
      <c r="H141" s="16"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row>
    <row r="142">
      <c r="A142" s="16" t="n">
        <v>137</v>
      </c>
      <c r="B142" s="16" t="n"/>
      <c r="C142" s="16" t="n"/>
      <c r="D142" s="16" t="n"/>
      <c r="E142" s="16" t="n"/>
      <c r="F142" s="16" t="n"/>
      <c r="G142" s="16" t="n"/>
      <c r="H142" s="16"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row>
    <row r="143">
      <c r="A143" s="16" t="n">
        <v>138</v>
      </c>
      <c r="B143" s="16" t="n"/>
      <c r="C143" s="16" t="n"/>
      <c r="D143" s="16" t="n"/>
      <c r="E143" s="16" t="n"/>
      <c r="F143" s="16" t="n"/>
      <c r="G143" s="16" t="n"/>
      <c r="H143" s="16"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row>
    <row r="144">
      <c r="A144" s="16" t="n">
        <v>139</v>
      </c>
      <c r="B144" s="16" t="n"/>
      <c r="C144" s="16" t="n"/>
      <c r="D144" s="16" t="n"/>
      <c r="E144" s="16" t="n"/>
      <c r="F144" s="16" t="n"/>
      <c r="G144" s="16" t="n"/>
      <c r="H144" s="16"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row>
    <row r="145">
      <c r="A145" s="16" t="n">
        <v>140</v>
      </c>
      <c r="B145" s="16" t="n"/>
      <c r="C145" s="16" t="n"/>
      <c r="D145" s="16" t="n"/>
      <c r="E145" s="16" t="n"/>
      <c r="F145" s="16" t="n"/>
      <c r="G145" s="16" t="n"/>
      <c r="H145" s="16"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row>
    <row r="146">
      <c r="A146" s="16" t="n">
        <v>141</v>
      </c>
      <c r="B146" s="16" t="n"/>
      <c r="C146" s="16" t="n"/>
      <c r="D146" s="16" t="n"/>
      <c r="E146" s="16" t="n"/>
      <c r="F146" s="16" t="n"/>
      <c r="G146" s="16" t="n"/>
      <c r="H146" s="16"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row>
    <row r="147">
      <c r="A147" s="16" t="n">
        <v>142</v>
      </c>
      <c r="B147" s="16" t="n"/>
      <c r="C147" s="16" t="n"/>
      <c r="D147" s="16" t="n"/>
      <c r="E147" s="16" t="n"/>
      <c r="F147" s="16" t="n"/>
      <c r="G147" s="16" t="n"/>
      <c r="H147" s="16"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row>
    <row r="148">
      <c r="A148" s="16" t="n">
        <v>143</v>
      </c>
      <c r="B148" s="16" t="n"/>
      <c r="C148" s="16" t="n"/>
      <c r="D148" s="16" t="n"/>
      <c r="E148" s="16" t="n"/>
      <c r="F148" s="16" t="n"/>
      <c r="G148" s="16" t="n"/>
      <c r="H148" s="16"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row>
    <row r="149">
      <c r="A149" s="16" t="n">
        <v>144</v>
      </c>
      <c r="B149" s="16" t="n"/>
      <c r="C149" s="16" t="n"/>
      <c r="D149" s="16" t="n"/>
      <c r="E149" s="16" t="n"/>
      <c r="F149" s="16" t="n"/>
      <c r="G149" s="16" t="n"/>
      <c r="H149" s="16"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row>
    <row r="150">
      <c r="A150" s="16" t="n">
        <v>145</v>
      </c>
      <c r="B150" s="16" t="n"/>
      <c r="C150" s="16" t="n"/>
      <c r="D150" s="16" t="n"/>
      <c r="E150" s="16" t="n"/>
      <c r="F150" s="16" t="n"/>
      <c r="G150" s="16" t="n"/>
      <c r="H150" s="16"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row>
    <row r="151">
      <c r="A151" s="16" t="n">
        <v>146</v>
      </c>
      <c r="B151" s="16" t="n"/>
      <c r="C151" s="16" t="n"/>
      <c r="D151" s="16" t="n"/>
      <c r="E151" s="16" t="n"/>
      <c r="F151" s="16" t="n"/>
      <c r="G151" s="16" t="n"/>
      <c r="H151" s="16"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row>
    <row r="152">
      <c r="A152" s="16" t="n">
        <v>147</v>
      </c>
      <c r="B152" s="16" t="n"/>
      <c r="C152" s="16" t="n"/>
      <c r="D152" s="16" t="n"/>
      <c r="E152" s="16" t="n"/>
      <c r="F152" s="16" t="n"/>
      <c r="G152" s="16" t="n"/>
      <c r="H152" s="16"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row>
    <row r="153">
      <c r="A153" s="16" t="n">
        <v>148</v>
      </c>
      <c r="B153" s="16" t="n"/>
      <c r="C153" s="16" t="n"/>
      <c r="D153" s="16" t="n"/>
      <c r="E153" s="16" t="n"/>
      <c r="F153" s="16" t="n"/>
      <c r="G153" s="16" t="n"/>
      <c r="H153" s="16"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row>
    <row r="154">
      <c r="A154" s="16" t="n">
        <v>149</v>
      </c>
      <c r="B154" s="16" t="n"/>
      <c r="C154" s="16" t="n"/>
      <c r="D154" s="16" t="n"/>
      <c r="E154" s="16" t="n"/>
      <c r="F154" s="16" t="n"/>
      <c r="G154" s="16" t="n"/>
      <c r="H154" s="16"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row>
    <row r="155">
      <c r="A155" s="16" t="n">
        <v>150</v>
      </c>
      <c r="B155" s="16" t="n"/>
      <c r="C155" s="16" t="n"/>
      <c r="D155" s="16" t="n"/>
      <c r="E155" s="16" t="n"/>
      <c r="F155" s="16" t="n"/>
      <c r="G155" s="16" t="n"/>
      <c r="H155" s="16"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row>
    <row r="156">
      <c r="A156" s="16" t="n">
        <v>151</v>
      </c>
      <c r="B156" s="16" t="n"/>
      <c r="C156" s="16" t="n"/>
      <c r="D156" s="16" t="n"/>
      <c r="E156" s="16" t="n"/>
      <c r="F156" s="16" t="n"/>
      <c r="G156" s="16" t="n"/>
      <c r="H156" s="16"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row>
    <row r="157">
      <c r="A157" s="16" t="n">
        <v>152</v>
      </c>
      <c r="B157" s="16" t="n"/>
      <c r="C157" s="16" t="n"/>
      <c r="D157" s="16" t="n"/>
      <c r="E157" s="16" t="n"/>
      <c r="F157" s="16" t="n"/>
      <c r="G157" s="16" t="n"/>
      <c r="H157" s="16"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row>
    <row r="158">
      <c r="A158" s="16" t="n">
        <v>153</v>
      </c>
      <c r="B158" s="16" t="n"/>
      <c r="C158" s="16" t="n"/>
      <c r="D158" s="16" t="n"/>
      <c r="E158" s="16" t="n"/>
      <c r="F158" s="16" t="n"/>
      <c r="G158" s="16" t="n"/>
      <c r="H158" s="16"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row>
    <row r="159">
      <c r="A159" s="16" t="n">
        <v>154</v>
      </c>
      <c r="B159" s="16" t="n"/>
      <c r="C159" s="16" t="n"/>
      <c r="D159" s="16" t="n"/>
      <c r="E159" s="16" t="n"/>
      <c r="F159" s="16" t="n"/>
      <c r="G159" s="16" t="n"/>
      <c r="H159" s="16"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row>
    <row r="160">
      <c r="A160" s="16" t="n">
        <v>155</v>
      </c>
      <c r="B160" s="16" t="n"/>
      <c r="C160" s="16" t="n"/>
      <c r="D160" s="16" t="n"/>
      <c r="E160" s="16" t="n"/>
      <c r="F160" s="16" t="n"/>
      <c r="G160" s="16" t="n"/>
      <c r="H160" s="16"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row>
    <row r="161">
      <c r="A161" s="16" t="n">
        <v>156</v>
      </c>
      <c r="B161" s="16" t="n"/>
      <c r="C161" s="16" t="n"/>
      <c r="D161" s="16" t="n"/>
      <c r="E161" s="16" t="n"/>
      <c r="F161" s="16" t="n"/>
      <c r="G161" s="16" t="n"/>
      <c r="H161" s="16"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row>
    <row r="162">
      <c r="A162" s="16" t="n">
        <v>157</v>
      </c>
      <c r="B162" s="16" t="n"/>
      <c r="C162" s="16" t="n"/>
      <c r="D162" s="16" t="n"/>
      <c r="E162" s="16" t="n"/>
      <c r="F162" s="16" t="n"/>
      <c r="G162" s="16" t="n"/>
      <c r="H162" s="16"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row>
    <row r="163">
      <c r="A163" s="16" t="n">
        <v>158</v>
      </c>
      <c r="B163" s="16" t="n"/>
      <c r="C163" s="16" t="n"/>
      <c r="D163" s="16" t="n"/>
      <c r="E163" s="16" t="n"/>
      <c r="F163" s="16" t="n"/>
      <c r="G163" s="16" t="n"/>
      <c r="H163" s="16"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row>
    <row r="164">
      <c r="A164" s="16" t="n">
        <v>159</v>
      </c>
      <c r="B164" s="16" t="n"/>
      <c r="C164" s="16" t="n"/>
      <c r="D164" s="16" t="n"/>
      <c r="E164" s="16" t="n"/>
      <c r="F164" s="16" t="n"/>
      <c r="G164" s="16" t="n"/>
      <c r="H164" s="16"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row>
    <row r="165">
      <c r="A165" s="16" t="n">
        <v>160</v>
      </c>
      <c r="B165" s="16" t="n"/>
      <c r="C165" s="16" t="n"/>
      <c r="D165" s="16" t="n"/>
      <c r="E165" s="16" t="n"/>
      <c r="F165" s="16" t="n"/>
      <c r="G165" s="16" t="n"/>
      <c r="H165" s="16"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row>
    <row r="166">
      <c r="A166" s="16" t="n">
        <v>161</v>
      </c>
      <c r="B166" s="16" t="n"/>
      <c r="C166" s="16" t="n"/>
      <c r="D166" s="16" t="n"/>
      <c r="E166" s="16" t="n"/>
      <c r="F166" s="16" t="n"/>
      <c r="G166" s="16" t="n"/>
      <c r="H166" s="16"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row>
    <row r="167">
      <c r="A167" s="16" t="n">
        <v>162</v>
      </c>
      <c r="B167" s="16" t="n"/>
      <c r="C167" s="16" t="n"/>
      <c r="D167" s="16" t="n"/>
      <c r="E167" s="16" t="n"/>
      <c r="F167" s="16" t="n"/>
      <c r="G167" s="16" t="n"/>
      <c r="H167" s="16"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row>
    <row r="168">
      <c r="A168" s="16" t="n">
        <v>163</v>
      </c>
      <c r="B168" s="16" t="n"/>
      <c r="C168" s="16" t="n"/>
      <c r="D168" s="16" t="n"/>
      <c r="E168" s="16" t="n"/>
      <c r="F168" s="16" t="n"/>
      <c r="G168" s="16" t="n"/>
      <c r="H168" s="16"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row>
    <row r="169">
      <c r="A169" s="16" t="n">
        <v>164</v>
      </c>
      <c r="B169" s="16" t="n"/>
      <c r="C169" s="16" t="n"/>
      <c r="D169" s="16" t="n"/>
      <c r="E169" s="16" t="n"/>
      <c r="F169" s="16" t="n"/>
      <c r="G169" s="16" t="n"/>
      <c r="H169" s="16"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row>
    <row r="170">
      <c r="A170" s="16" t="n">
        <v>165</v>
      </c>
      <c r="B170" s="16" t="n"/>
      <c r="C170" s="16" t="n"/>
      <c r="D170" s="16" t="n"/>
      <c r="E170" s="16" t="n"/>
      <c r="F170" s="16" t="n"/>
      <c r="G170" s="16" t="n"/>
      <c r="H170" s="16"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row>
    <row r="171">
      <c r="A171" s="16" t="n">
        <v>166</v>
      </c>
      <c r="B171" s="16" t="n"/>
      <c r="C171" s="16" t="n"/>
      <c r="D171" s="16" t="n"/>
      <c r="E171" s="16" t="n"/>
      <c r="F171" s="16" t="n"/>
      <c r="G171" s="16" t="n"/>
      <c r="H171" s="16"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row>
    <row r="172">
      <c r="A172" s="16" t="n">
        <v>167</v>
      </c>
      <c r="B172" s="16" t="n"/>
      <c r="C172" s="16" t="n"/>
      <c r="D172" s="16" t="n"/>
      <c r="E172" s="16" t="n"/>
      <c r="F172" s="16" t="n"/>
      <c r="G172" s="16" t="n"/>
      <c r="H172" s="16"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row>
    <row r="173">
      <c r="A173" s="16" t="n">
        <v>168</v>
      </c>
      <c r="B173" s="16" t="n"/>
      <c r="C173" s="16" t="n"/>
      <c r="D173" s="16" t="n"/>
      <c r="E173" s="16" t="n"/>
      <c r="F173" s="16" t="n"/>
      <c r="G173" s="16" t="n"/>
      <c r="H173" s="16"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row>
    <row r="174">
      <c r="A174" s="16" t="n">
        <v>169</v>
      </c>
      <c r="B174" s="16" t="n"/>
      <c r="C174" s="16" t="n"/>
      <c r="D174" s="16" t="n"/>
      <c r="E174" s="16" t="n"/>
      <c r="F174" s="16" t="n"/>
      <c r="G174" s="16" t="n"/>
      <c r="H174" s="16"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row>
    <row r="175">
      <c r="A175" s="16" t="n">
        <v>170</v>
      </c>
      <c r="B175" s="16" t="n"/>
      <c r="C175" s="16" t="n"/>
      <c r="D175" s="16" t="n"/>
      <c r="E175" s="16" t="n"/>
      <c r="F175" s="16" t="n"/>
      <c r="G175" s="16" t="n"/>
      <c r="H175" s="16"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row>
    <row r="176">
      <c r="A176" s="16" t="n">
        <v>171</v>
      </c>
      <c r="B176" s="16" t="n"/>
      <c r="C176" s="16" t="n"/>
      <c r="D176" s="16" t="n"/>
      <c r="E176" s="16" t="n"/>
      <c r="F176" s="16" t="n"/>
      <c r="G176" s="16" t="n"/>
      <c r="H176" s="16"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row>
    <row r="177">
      <c r="A177" s="16" t="n">
        <v>172</v>
      </c>
      <c r="B177" s="16" t="n"/>
      <c r="C177" s="16" t="n"/>
      <c r="D177" s="16" t="n"/>
      <c r="E177" s="16" t="n"/>
      <c r="F177" s="16" t="n"/>
      <c r="G177" s="16" t="n"/>
      <c r="H177" s="16"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row>
    <row r="178">
      <c r="A178" s="16" t="n">
        <v>173</v>
      </c>
      <c r="B178" s="16" t="n"/>
      <c r="C178" s="16" t="n"/>
      <c r="D178" s="16" t="n"/>
      <c r="E178" s="16" t="n"/>
      <c r="F178" s="16" t="n"/>
      <c r="G178" s="16" t="n"/>
      <c r="H178" s="16"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row>
    <row r="179">
      <c r="A179" s="16" t="n">
        <v>174</v>
      </c>
      <c r="B179" s="16" t="n"/>
      <c r="C179" s="16" t="n"/>
      <c r="D179" s="16" t="n"/>
      <c r="E179" s="16" t="n"/>
      <c r="F179" s="16" t="n"/>
      <c r="G179" s="16" t="n"/>
      <c r="H179" s="16"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row>
    <row r="180">
      <c r="A180" s="16" t="n">
        <v>175</v>
      </c>
      <c r="B180" s="16" t="n"/>
      <c r="C180" s="16" t="n"/>
      <c r="D180" s="16" t="n"/>
      <c r="E180" s="16" t="n"/>
      <c r="F180" s="16" t="n"/>
      <c r="G180" s="16" t="n"/>
      <c r="H180" s="16"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row>
    <row r="181">
      <c r="A181" s="16" t="n">
        <v>176</v>
      </c>
      <c r="B181" s="16" t="n"/>
      <c r="C181" s="16" t="n"/>
      <c r="D181" s="16" t="n"/>
      <c r="E181" s="16" t="n"/>
      <c r="F181" s="16" t="n"/>
      <c r="G181" s="16" t="n"/>
      <c r="H181" s="16"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row>
    <row r="182">
      <c r="A182" s="16" t="n">
        <v>177</v>
      </c>
      <c r="B182" s="16" t="n"/>
      <c r="C182" s="16" t="n"/>
      <c r="D182" s="16" t="n"/>
      <c r="E182" s="16" t="n"/>
      <c r="F182" s="16" t="n"/>
      <c r="G182" s="16" t="n"/>
      <c r="H182" s="16"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row>
    <row r="183">
      <c r="A183" s="16" t="n">
        <v>178</v>
      </c>
      <c r="B183" s="16" t="n"/>
      <c r="C183" s="16" t="n"/>
      <c r="D183" s="16" t="n"/>
      <c r="E183" s="16" t="n"/>
      <c r="F183" s="16" t="n"/>
      <c r="G183" s="16" t="n"/>
      <c r="H183" s="16"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row>
    <row r="184">
      <c r="A184" s="16" t="n">
        <v>179</v>
      </c>
      <c r="B184" s="16" t="n"/>
      <c r="C184" s="16" t="n"/>
      <c r="D184" s="16" t="n"/>
      <c r="E184" s="16" t="n"/>
      <c r="F184" s="16" t="n"/>
      <c r="G184" s="16" t="n"/>
      <c r="H184" s="16"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row>
    <row r="185">
      <c r="A185" s="16" t="n">
        <v>180</v>
      </c>
      <c r="B185" s="16" t="n"/>
      <c r="C185" s="16" t="n"/>
      <c r="D185" s="16" t="n"/>
      <c r="E185" s="16" t="n"/>
      <c r="F185" s="16" t="n"/>
      <c r="G185" s="16" t="n"/>
      <c r="H185" s="16"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row>
    <row r="186">
      <c r="A186" s="16" t="n">
        <v>181</v>
      </c>
      <c r="B186" s="16" t="n"/>
      <c r="C186" s="16" t="n"/>
      <c r="D186" s="16" t="n"/>
      <c r="E186" s="16" t="n"/>
      <c r="F186" s="16" t="n"/>
      <c r="G186" s="16" t="n"/>
      <c r="H186" s="16"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row>
    <row r="187">
      <c r="A187" s="16" t="n">
        <v>182</v>
      </c>
      <c r="B187" s="16" t="n"/>
      <c r="C187" s="16" t="n"/>
      <c r="D187" s="16" t="n"/>
      <c r="E187" s="16" t="n"/>
      <c r="F187" s="16" t="n"/>
      <c r="G187" s="16" t="n"/>
      <c r="H187" s="16"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row>
    <row r="188">
      <c r="A188" s="16" t="n">
        <v>183</v>
      </c>
      <c r="B188" s="16" t="n"/>
      <c r="C188" s="16" t="n"/>
      <c r="D188" s="16" t="n"/>
      <c r="E188" s="16" t="n"/>
      <c r="F188" s="16" t="n"/>
      <c r="G188" s="16" t="n"/>
      <c r="H188" s="16"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row>
    <row r="189">
      <c r="A189" s="16" t="n">
        <v>184</v>
      </c>
      <c r="B189" s="16" t="n"/>
      <c r="C189" s="16" t="n"/>
      <c r="D189" s="16" t="n"/>
      <c r="E189" s="16" t="n"/>
      <c r="F189" s="16" t="n"/>
      <c r="G189" s="16" t="n"/>
      <c r="H189" s="16"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row>
    <row r="190">
      <c r="A190" s="16" t="n">
        <v>185</v>
      </c>
      <c r="B190" s="16" t="n"/>
      <c r="C190" s="16" t="n"/>
      <c r="D190" s="16" t="n"/>
      <c r="E190" s="16" t="n"/>
      <c r="F190" s="16" t="n"/>
      <c r="G190" s="16" t="n"/>
      <c r="H190" s="16"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row>
    <row r="191">
      <c r="A191" s="16" t="n">
        <v>186</v>
      </c>
      <c r="B191" s="16" t="n"/>
      <c r="C191" s="16" t="n"/>
      <c r="D191" s="16" t="n"/>
      <c r="E191" s="16" t="n"/>
      <c r="F191" s="16" t="n"/>
      <c r="G191" s="16" t="n"/>
      <c r="H191" s="16"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row>
    <row r="192">
      <c r="A192" s="16" t="n">
        <v>187</v>
      </c>
      <c r="B192" s="16" t="n"/>
      <c r="C192" s="16" t="n"/>
      <c r="D192" s="16" t="n"/>
      <c r="E192" s="16" t="n"/>
      <c r="F192" s="16" t="n"/>
      <c r="G192" s="16" t="n"/>
      <c r="H192" s="16"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row>
    <row r="193">
      <c r="A193" s="16" t="n">
        <v>188</v>
      </c>
      <c r="B193" s="16" t="n"/>
      <c r="C193" s="16" t="n"/>
      <c r="D193" s="16" t="n"/>
      <c r="E193" s="16" t="n"/>
      <c r="F193" s="16" t="n"/>
      <c r="G193" s="16" t="n"/>
      <c r="H193" s="16"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row>
    <row r="194">
      <c r="A194" s="16" t="n">
        <v>189</v>
      </c>
      <c r="B194" s="16" t="n"/>
      <c r="C194" s="16" t="n"/>
      <c r="D194" s="16" t="n"/>
      <c r="E194" s="16" t="n"/>
      <c r="F194" s="16" t="n"/>
      <c r="G194" s="16" t="n"/>
      <c r="H194" s="16"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row>
    <row r="195">
      <c r="A195" s="16" t="n">
        <v>190</v>
      </c>
      <c r="B195" s="16" t="n"/>
      <c r="C195" s="16" t="n"/>
      <c r="D195" s="16" t="n"/>
      <c r="E195" s="16" t="n"/>
      <c r="F195" s="16" t="n"/>
      <c r="G195" s="16" t="n"/>
      <c r="H195" s="16"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row>
    <row r="196">
      <c r="A196" s="16" t="n">
        <v>191</v>
      </c>
      <c r="B196" s="16" t="n"/>
      <c r="C196" s="16" t="n"/>
      <c r="D196" s="16" t="n"/>
      <c r="E196" s="16" t="n"/>
      <c r="F196" s="16" t="n"/>
      <c r="G196" s="16" t="n"/>
      <c r="H196" s="16"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row>
    <row r="197">
      <c r="A197" s="16" t="n">
        <v>192</v>
      </c>
      <c r="B197" s="16" t="n"/>
      <c r="C197" s="16" t="n"/>
      <c r="D197" s="16" t="n"/>
      <c r="E197" s="16" t="n"/>
      <c r="F197" s="16" t="n"/>
      <c r="G197" s="16" t="n"/>
      <c r="H197" s="16"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row>
    <row r="198">
      <c r="A198" s="16" t="n">
        <v>193</v>
      </c>
      <c r="B198" s="16" t="n"/>
      <c r="C198" s="16" t="n"/>
      <c r="D198" s="16" t="n"/>
      <c r="E198" s="16" t="n"/>
      <c r="F198" s="16" t="n"/>
      <c r="G198" s="16" t="n"/>
      <c r="H198" s="16"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row>
    <row r="199">
      <c r="A199" s="16" t="n">
        <v>194</v>
      </c>
      <c r="B199" s="16" t="n"/>
      <c r="C199" s="16" t="n"/>
      <c r="D199" s="16" t="n"/>
      <c r="E199" s="16" t="n"/>
      <c r="F199" s="16" t="n"/>
      <c r="G199" s="16" t="n"/>
      <c r="H199" s="16"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row>
    <row r="200">
      <c r="A200" s="16" t="n">
        <v>195</v>
      </c>
      <c r="B200" s="16" t="n"/>
      <c r="C200" s="16" t="n"/>
      <c r="D200" s="16" t="n"/>
      <c r="E200" s="16" t="n"/>
      <c r="F200" s="16" t="n"/>
      <c r="G200" s="16" t="n"/>
      <c r="H200" s="16"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row>
    <row r="201">
      <c r="A201" s="16" t="n">
        <v>196</v>
      </c>
      <c r="B201" s="16" t="n"/>
      <c r="C201" s="16" t="n"/>
      <c r="D201" s="16" t="n"/>
      <c r="E201" s="16" t="n"/>
      <c r="F201" s="16" t="n"/>
      <c r="G201" s="16" t="n"/>
      <c r="H201" s="16"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row>
    <row r="202">
      <c r="A202" s="16" t="n">
        <v>197</v>
      </c>
      <c r="B202" s="16" t="n"/>
      <c r="C202" s="16" t="n"/>
      <c r="D202" s="16" t="n"/>
      <c r="E202" s="16" t="n"/>
      <c r="F202" s="16" t="n"/>
      <c r="G202" s="16" t="n"/>
      <c r="H202" s="16"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row>
    <row r="203">
      <c r="A203" s="16" t="n">
        <v>198</v>
      </c>
      <c r="B203" s="16" t="n"/>
      <c r="C203" s="16" t="n"/>
      <c r="D203" s="16" t="n"/>
      <c r="E203" s="16" t="n"/>
      <c r="F203" s="16" t="n"/>
      <c r="G203" s="16" t="n"/>
      <c r="H203" s="16"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row>
    <row r="204">
      <c r="A204" s="16" t="n">
        <v>199</v>
      </c>
      <c r="B204" s="16" t="n"/>
      <c r="C204" s="16" t="n"/>
      <c r="D204" s="16" t="n"/>
      <c r="E204" s="16" t="n"/>
      <c r="F204" s="16" t="n"/>
      <c r="G204" s="16" t="n"/>
      <c r="H204" s="16"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row>
    <row r="205">
      <c r="A205" s="16" t="n">
        <v>200</v>
      </c>
      <c r="B205" s="16" t="n"/>
      <c r="C205" s="16" t="n"/>
      <c r="D205" s="16" t="n"/>
      <c r="E205" s="16" t="n"/>
      <c r="F205" s="16" t="n"/>
      <c r="G205" s="16" t="n"/>
      <c r="H205" s="16"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row>
  </sheetData>
  <dataValidations count="1">
    <dataValidation sqref="I6:AP205" showDropDown="0" showInputMessage="0" showErrorMessage="1" allowBlank="1" errorTitle="Use 1 to 5" error="Enter the weight the respondent ticked: 5 Strongly Agree down to 1 Strongly Disagree."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05"/>
  <sheetViews>
    <sheetView showGridLines="0" workbookViewId="0">
      <pane xSplit="8" ySplit="5" topLeftCell="I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4" customWidth="1" min="2" max="2"/>
    <col width="7" customWidth="1" min="3" max="3"/>
    <col width="10" customWidth="1" min="4" max="4"/>
    <col width="24" customWidth="1" min="5" max="5"/>
    <col width="16" customWidth="1" min="6" max="6"/>
    <col width="15" customWidth="1" min="7" max="7"/>
    <col width="20"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s>
  <sheetData>
    <row r="1">
      <c r="A1" s="10" t="inlineStr">
        <is>
          <t>Driver Responses</t>
        </is>
      </c>
    </row>
    <row r="2">
      <c r="A2" s="11" t="inlineStr">
        <is>
          <t>One row per tricycle driver respondent, using the driver instrument.</t>
        </is>
      </c>
    </row>
    <row r="3" ht="190" customHeight="1">
      <c r="I3" s="12" t="inlineStr">
        <is>
          <t>The system is easy to navigate and use.</t>
        </is>
      </c>
      <c r="J3" s="12" t="inlineStr">
        <is>
          <t>The interface is clean and visually understandable.</t>
        </is>
      </c>
      <c r="K3" s="12" t="inlineStr">
        <is>
          <t>I was able to register and set up my account without difficulty.</t>
        </is>
      </c>
      <c r="L3" s="12" t="inlineStr">
        <is>
          <t>The instructions and labels in the system are clear and easy to understand.</t>
        </is>
      </c>
      <c r="M3" s="12" t="inlineStr">
        <is>
          <t>I can comfortably use the system without any technical assistance.</t>
        </is>
      </c>
      <c r="N3" s="12" t="inlineStr">
        <is>
          <t>The ride request feature works as expected.</t>
        </is>
      </c>
      <c r="O3" s="12" t="inlineStr">
        <is>
          <t>I receive timely notifications about incoming ride requests.</t>
        </is>
      </c>
      <c r="P3" s="12" t="inlineStr">
        <is>
          <t>The system accurately shows my availability status to passengers.</t>
        </is>
      </c>
      <c r="Q3" s="12" t="inlineStr">
        <is>
          <t>I can manage and track my rides through the system in real time.</t>
        </is>
      </c>
      <c r="R3" s="12" t="inlineStr">
        <is>
          <t>The system performs all its intended functions correctly.</t>
        </is>
      </c>
      <c r="S3" s="12" t="inlineStr">
        <is>
          <t>The system reduces my idle time waiting for passengers.</t>
        </is>
      </c>
      <c r="T3" s="12" t="inlineStr">
        <is>
          <t>Managing ride requests through the system is faster than the manual process.</t>
        </is>
      </c>
      <c r="U3" s="12" t="inlineStr">
        <is>
          <t>The system responds quickly to my inputs and actions.</t>
        </is>
      </c>
      <c r="V3" s="12" t="inlineStr">
        <is>
          <t>The system helps me serve more passengers throughout the day.</t>
        </is>
      </c>
      <c r="W3" s="12" t="inlineStr">
        <is>
          <t>Overall, the system improves my daily work experience as a driver.</t>
        </is>
      </c>
      <c r="X3" s="12" t="inlineStr">
        <is>
          <t>The system works consistently without errors or crashes.</t>
        </is>
      </c>
      <c r="Y3" s="12" t="inlineStr">
        <is>
          <t>I can depend on the system to deliver ride requests accurately.</t>
        </is>
      </c>
      <c r="Z3" s="12" t="inlineStr">
        <is>
          <t>The system maintains accurate and up-to-date information.</t>
        </is>
      </c>
      <c r="AA3" s="12" t="inlineStr">
        <is>
          <t>The system performs well even during busy hours.</t>
        </is>
      </c>
      <c r="AB3" s="12" t="inlineStr">
        <is>
          <t>I trust the system to support my work as a registered driver.</t>
        </is>
      </c>
    </row>
    <row r="4" ht="30" customHeight="1">
      <c r="A4" s="13" t="inlineStr">
        <is>
          <t>Respondent No.</t>
        </is>
      </c>
      <c r="B4" s="13" t="inlineStr">
        <is>
          <t>Name (optional)</t>
        </is>
      </c>
      <c r="C4" s="13" t="inlineStr">
        <is>
          <t>Age</t>
        </is>
      </c>
      <c r="D4" s="13" t="inlineStr">
        <is>
          <t>Gender</t>
        </is>
      </c>
      <c r="E4" s="13" t="inlineStr">
        <is>
          <t>Years of driving experience</t>
        </is>
      </c>
      <c r="F4" s="13" t="inlineStr">
        <is>
          <t>Owns smartphone</t>
        </is>
      </c>
      <c r="G4" s="13" t="inlineStr">
        <is>
          <t>Internet access</t>
        </is>
      </c>
      <c r="H4" s="13" t="inlineStr">
        <is>
          <t>Average trips per day</t>
        </is>
      </c>
      <c r="I4" s="14" t="inlineStr">
        <is>
          <t>A1</t>
        </is>
      </c>
      <c r="J4" s="14" t="inlineStr">
        <is>
          <t>A2</t>
        </is>
      </c>
      <c r="K4" s="14" t="inlineStr">
        <is>
          <t>A3</t>
        </is>
      </c>
      <c r="L4" s="14" t="inlineStr">
        <is>
          <t>A4</t>
        </is>
      </c>
      <c r="M4" s="14" t="inlineStr">
        <is>
          <t>A5</t>
        </is>
      </c>
      <c r="N4" s="14" t="inlineStr">
        <is>
          <t>B1</t>
        </is>
      </c>
      <c r="O4" s="14" t="inlineStr">
        <is>
          <t>B2</t>
        </is>
      </c>
      <c r="P4" s="14" t="inlineStr">
        <is>
          <t>B3</t>
        </is>
      </c>
      <c r="Q4" s="14" t="inlineStr">
        <is>
          <t>B4</t>
        </is>
      </c>
      <c r="R4" s="14" t="inlineStr">
        <is>
          <t>B5</t>
        </is>
      </c>
      <c r="S4" s="14" t="inlineStr">
        <is>
          <t>C1</t>
        </is>
      </c>
      <c r="T4" s="14" t="inlineStr">
        <is>
          <t>C2</t>
        </is>
      </c>
      <c r="U4" s="14" t="inlineStr">
        <is>
          <t>C3</t>
        </is>
      </c>
      <c r="V4" s="14" t="inlineStr">
        <is>
          <t>C4</t>
        </is>
      </c>
      <c r="W4" s="14" t="inlineStr">
        <is>
          <t>C5</t>
        </is>
      </c>
      <c r="X4" s="14" t="inlineStr">
        <is>
          <t>D1</t>
        </is>
      </c>
      <c r="Y4" s="14" t="inlineStr">
        <is>
          <t>D2</t>
        </is>
      </c>
      <c r="Z4" s="14" t="inlineStr">
        <is>
          <t>D3</t>
        </is>
      </c>
      <c r="AA4" s="14" t="inlineStr">
        <is>
          <t>D4</t>
        </is>
      </c>
      <c r="AB4" s="14" t="inlineStr">
        <is>
          <t>D5</t>
        </is>
      </c>
    </row>
    <row r="5">
      <c r="A5" s="15" t="inlineStr">
        <is>
          <t>EXAMPLE - delete</t>
        </is>
      </c>
      <c r="B5" s="15" t="inlineStr">
        <is>
          <t>Pedro Santos</t>
        </is>
      </c>
      <c r="C5" s="15" t="n">
        <v>41</v>
      </c>
      <c r="D5" s="15" t="inlineStr">
        <is>
          <t>Male</t>
        </is>
      </c>
      <c r="E5" s="15" t="inlineStr">
        <is>
          <t>4-6 years</t>
        </is>
      </c>
      <c r="F5" s="15" t="inlineStr">
        <is>
          <t>Yes</t>
        </is>
      </c>
      <c r="G5" s="15" t="inlineStr">
        <is>
          <t>Yes</t>
        </is>
      </c>
      <c r="H5" s="15" t="inlineStr">
        <is>
          <t>11-15</t>
        </is>
      </c>
      <c r="I5" s="15" t="n">
        <v>5</v>
      </c>
      <c r="J5" s="15" t="n">
        <v>4</v>
      </c>
      <c r="K5" s="15" t="n">
        <v>5</v>
      </c>
      <c r="L5" s="15" t="n">
        <v>4</v>
      </c>
      <c r="M5" s="15" t="n">
        <v>5</v>
      </c>
      <c r="N5" s="15" t="n">
        <v>5</v>
      </c>
      <c r="O5" s="15" t="n">
        <v>4</v>
      </c>
      <c r="P5" s="15" t="n">
        <v>5</v>
      </c>
      <c r="Q5" s="15" t="n">
        <v>4</v>
      </c>
      <c r="R5" s="15" t="n">
        <v>5</v>
      </c>
      <c r="S5" s="15" t="n">
        <v>5</v>
      </c>
      <c r="T5" s="15" t="n">
        <v>4</v>
      </c>
      <c r="U5" s="15" t="n">
        <v>5</v>
      </c>
      <c r="V5" s="15" t="n">
        <v>4</v>
      </c>
      <c r="W5" s="15" t="n">
        <v>5</v>
      </c>
      <c r="X5" s="15" t="n">
        <v>5</v>
      </c>
      <c r="Y5" s="15" t="n">
        <v>4</v>
      </c>
      <c r="Z5" s="15" t="n">
        <v>5</v>
      </c>
      <c r="AA5" s="15" t="n">
        <v>4</v>
      </c>
      <c r="AB5" s="15" t="n">
        <v>5</v>
      </c>
    </row>
    <row r="6">
      <c r="A6" s="16" t="n">
        <v>1</v>
      </c>
      <c r="B6" s="16" t="n"/>
      <c r="C6" s="16" t="n"/>
      <c r="D6" s="16" t="n"/>
      <c r="E6" s="16" t="n"/>
      <c r="F6" s="16" t="n"/>
      <c r="G6" s="16" t="n"/>
      <c r="H6" s="16" t="n"/>
      <c r="I6" s="17" t="n"/>
      <c r="J6" s="17" t="n"/>
      <c r="K6" s="17" t="n"/>
      <c r="L6" s="17" t="n"/>
      <c r="M6" s="17" t="n"/>
      <c r="N6" s="17" t="n"/>
      <c r="O6" s="17" t="n"/>
      <c r="P6" s="17" t="n"/>
      <c r="Q6" s="17" t="n"/>
      <c r="R6" s="17" t="n"/>
      <c r="S6" s="17" t="n"/>
      <c r="T6" s="17" t="n"/>
      <c r="U6" s="17" t="n"/>
      <c r="V6" s="17" t="n"/>
      <c r="W6" s="17" t="n"/>
      <c r="X6" s="17" t="n"/>
      <c r="Y6" s="17" t="n"/>
      <c r="Z6" s="17" t="n"/>
      <c r="AA6" s="17" t="n"/>
      <c r="AB6" s="17" t="n"/>
    </row>
    <row r="7">
      <c r="A7" s="16" t="n">
        <v>2</v>
      </c>
      <c r="B7" s="16" t="n"/>
      <c r="C7" s="16" t="n"/>
      <c r="D7" s="16" t="n"/>
      <c r="E7" s="16" t="n"/>
      <c r="F7" s="16" t="n"/>
      <c r="G7" s="16" t="n"/>
      <c r="H7" s="16" t="n"/>
      <c r="I7" s="17" t="n"/>
      <c r="J7" s="17" t="n"/>
      <c r="K7" s="17" t="n"/>
      <c r="L7" s="17" t="n"/>
      <c r="M7" s="17" t="n"/>
      <c r="N7" s="17" t="n"/>
      <c r="O7" s="17" t="n"/>
      <c r="P7" s="17" t="n"/>
      <c r="Q7" s="17" t="n"/>
      <c r="R7" s="17" t="n"/>
      <c r="S7" s="17" t="n"/>
      <c r="T7" s="17" t="n"/>
      <c r="U7" s="17" t="n"/>
      <c r="V7" s="17" t="n"/>
      <c r="W7" s="17" t="n"/>
      <c r="X7" s="17" t="n"/>
      <c r="Y7" s="17" t="n"/>
      <c r="Z7" s="17" t="n"/>
      <c r="AA7" s="17" t="n"/>
      <c r="AB7" s="17" t="n"/>
    </row>
    <row r="8">
      <c r="A8" s="16" t="n">
        <v>3</v>
      </c>
      <c r="B8" s="16" t="n"/>
      <c r="C8" s="16" t="n"/>
      <c r="D8" s="16" t="n"/>
      <c r="E8" s="16" t="n"/>
      <c r="F8" s="16" t="n"/>
      <c r="G8" s="16" t="n"/>
      <c r="H8" s="16" t="n"/>
      <c r="I8" s="17" t="n"/>
      <c r="J8" s="17" t="n"/>
      <c r="K8" s="17" t="n"/>
      <c r="L8" s="17" t="n"/>
      <c r="M8" s="17" t="n"/>
      <c r="N8" s="17" t="n"/>
      <c r="O8" s="17" t="n"/>
      <c r="P8" s="17" t="n"/>
      <c r="Q8" s="17" t="n"/>
      <c r="R8" s="17" t="n"/>
      <c r="S8" s="17" t="n"/>
      <c r="T8" s="17" t="n"/>
      <c r="U8" s="17" t="n"/>
      <c r="V8" s="17" t="n"/>
      <c r="W8" s="17" t="n"/>
      <c r="X8" s="17" t="n"/>
      <c r="Y8" s="17" t="n"/>
      <c r="Z8" s="17" t="n"/>
      <c r="AA8" s="17" t="n"/>
      <c r="AB8" s="17" t="n"/>
    </row>
    <row r="9">
      <c r="A9" s="16" t="n">
        <v>4</v>
      </c>
      <c r="B9" s="16" t="n"/>
      <c r="C9" s="16" t="n"/>
      <c r="D9" s="16" t="n"/>
      <c r="E9" s="16" t="n"/>
      <c r="F9" s="16" t="n"/>
      <c r="G9" s="16" t="n"/>
      <c r="H9" s="16" t="n"/>
      <c r="I9" s="17" t="n"/>
      <c r="J9" s="17" t="n"/>
      <c r="K9" s="17" t="n"/>
      <c r="L9" s="17" t="n"/>
      <c r="M9" s="17" t="n"/>
      <c r="N9" s="17" t="n"/>
      <c r="O9" s="17" t="n"/>
      <c r="P9" s="17" t="n"/>
      <c r="Q9" s="17" t="n"/>
      <c r="R9" s="17" t="n"/>
      <c r="S9" s="17" t="n"/>
      <c r="T9" s="17" t="n"/>
      <c r="U9" s="17" t="n"/>
      <c r="V9" s="17" t="n"/>
      <c r="W9" s="17" t="n"/>
      <c r="X9" s="17" t="n"/>
      <c r="Y9" s="17" t="n"/>
      <c r="Z9" s="17" t="n"/>
      <c r="AA9" s="17" t="n"/>
      <c r="AB9" s="17" t="n"/>
    </row>
    <row r="10">
      <c r="A10" s="16" t="n">
        <v>5</v>
      </c>
      <c r="B10" s="16" t="n"/>
      <c r="C10" s="16" t="n"/>
      <c r="D10" s="16" t="n"/>
      <c r="E10" s="16" t="n"/>
      <c r="F10" s="16" t="n"/>
      <c r="G10" s="16" t="n"/>
      <c r="H10" s="16"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row>
    <row r="11">
      <c r="A11" s="16" t="n">
        <v>6</v>
      </c>
      <c r="B11" s="16" t="n"/>
      <c r="C11" s="16" t="n"/>
      <c r="D11" s="16" t="n"/>
      <c r="E11" s="16" t="n"/>
      <c r="F11" s="16" t="n"/>
      <c r="G11" s="16" t="n"/>
      <c r="H11" s="16"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row>
    <row r="12">
      <c r="A12" s="16" t="n">
        <v>7</v>
      </c>
      <c r="B12" s="16" t="n"/>
      <c r="C12" s="16" t="n"/>
      <c r="D12" s="16" t="n"/>
      <c r="E12" s="16" t="n"/>
      <c r="F12" s="16" t="n"/>
      <c r="G12" s="16" t="n"/>
      <c r="H12" s="16"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row>
    <row r="13">
      <c r="A13" s="16" t="n">
        <v>8</v>
      </c>
      <c r="B13" s="16" t="n"/>
      <c r="C13" s="16" t="n"/>
      <c r="D13" s="16" t="n"/>
      <c r="E13" s="16" t="n"/>
      <c r="F13" s="16" t="n"/>
      <c r="G13" s="16" t="n"/>
      <c r="H13" s="16"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row>
    <row r="14">
      <c r="A14" s="16" t="n">
        <v>9</v>
      </c>
      <c r="B14" s="16" t="n"/>
      <c r="C14" s="16" t="n"/>
      <c r="D14" s="16" t="n"/>
      <c r="E14" s="16" t="n"/>
      <c r="F14" s="16" t="n"/>
      <c r="G14" s="16" t="n"/>
      <c r="H14" s="16"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row>
    <row r="15">
      <c r="A15" s="16" t="n">
        <v>10</v>
      </c>
      <c r="B15" s="16" t="n"/>
      <c r="C15" s="16" t="n"/>
      <c r="D15" s="16" t="n"/>
      <c r="E15" s="16" t="n"/>
      <c r="F15" s="16" t="n"/>
      <c r="G15" s="16" t="n"/>
      <c r="H15" s="16"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row>
    <row r="16">
      <c r="A16" s="16" t="n">
        <v>11</v>
      </c>
      <c r="B16" s="16" t="n"/>
      <c r="C16" s="16" t="n"/>
      <c r="D16" s="16" t="n"/>
      <c r="E16" s="16" t="n"/>
      <c r="F16" s="16" t="n"/>
      <c r="G16" s="16" t="n"/>
      <c r="H16" s="16"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row>
    <row r="17">
      <c r="A17" s="16" t="n">
        <v>12</v>
      </c>
      <c r="B17" s="16" t="n"/>
      <c r="C17" s="16" t="n"/>
      <c r="D17" s="16" t="n"/>
      <c r="E17" s="16" t="n"/>
      <c r="F17" s="16" t="n"/>
      <c r="G17" s="16" t="n"/>
      <c r="H17" s="16"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row>
    <row r="18">
      <c r="A18" s="16" t="n">
        <v>13</v>
      </c>
      <c r="B18" s="16" t="n"/>
      <c r="C18" s="16" t="n"/>
      <c r="D18" s="16" t="n"/>
      <c r="E18" s="16" t="n"/>
      <c r="F18" s="16" t="n"/>
      <c r="G18" s="16" t="n"/>
      <c r="H18" s="16"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row>
    <row r="19">
      <c r="A19" s="16" t="n">
        <v>14</v>
      </c>
      <c r="B19" s="16" t="n"/>
      <c r="C19" s="16" t="n"/>
      <c r="D19" s="16" t="n"/>
      <c r="E19" s="16" t="n"/>
      <c r="F19" s="16" t="n"/>
      <c r="G19" s="16" t="n"/>
      <c r="H19" s="16"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row>
    <row r="20">
      <c r="A20" s="16" t="n">
        <v>15</v>
      </c>
      <c r="B20" s="16" t="n"/>
      <c r="C20" s="16" t="n"/>
      <c r="D20" s="16" t="n"/>
      <c r="E20" s="16" t="n"/>
      <c r="F20" s="16" t="n"/>
      <c r="G20" s="16" t="n"/>
      <c r="H20" s="16"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row>
    <row r="21">
      <c r="A21" s="16" t="n">
        <v>16</v>
      </c>
      <c r="B21" s="16" t="n"/>
      <c r="C21" s="16" t="n"/>
      <c r="D21" s="16" t="n"/>
      <c r="E21" s="16" t="n"/>
      <c r="F21" s="16" t="n"/>
      <c r="G21" s="16" t="n"/>
      <c r="H21" s="16"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row>
    <row r="22">
      <c r="A22" s="16" t="n">
        <v>17</v>
      </c>
      <c r="B22" s="16" t="n"/>
      <c r="C22" s="16" t="n"/>
      <c r="D22" s="16" t="n"/>
      <c r="E22" s="16" t="n"/>
      <c r="F22" s="16" t="n"/>
      <c r="G22" s="16" t="n"/>
      <c r="H22" s="16"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row>
    <row r="23">
      <c r="A23" s="16" t="n">
        <v>18</v>
      </c>
      <c r="B23" s="16" t="n"/>
      <c r="C23" s="16" t="n"/>
      <c r="D23" s="16" t="n"/>
      <c r="E23" s="16" t="n"/>
      <c r="F23" s="16" t="n"/>
      <c r="G23" s="16" t="n"/>
      <c r="H23" s="16"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row>
    <row r="24">
      <c r="A24" s="16" t="n">
        <v>19</v>
      </c>
      <c r="B24" s="16" t="n"/>
      <c r="C24" s="16" t="n"/>
      <c r="D24" s="16" t="n"/>
      <c r="E24" s="16" t="n"/>
      <c r="F24" s="16" t="n"/>
      <c r="G24" s="16" t="n"/>
      <c r="H24" s="16"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row>
    <row r="25">
      <c r="A25" s="16" t="n">
        <v>20</v>
      </c>
      <c r="B25" s="16" t="n"/>
      <c r="C25" s="16" t="n"/>
      <c r="D25" s="16" t="n"/>
      <c r="E25" s="16" t="n"/>
      <c r="F25" s="16" t="n"/>
      <c r="G25" s="16" t="n"/>
      <c r="H25" s="16"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row>
    <row r="26">
      <c r="A26" s="16" t="n">
        <v>21</v>
      </c>
      <c r="B26" s="16" t="n"/>
      <c r="C26" s="16" t="n"/>
      <c r="D26" s="16" t="n"/>
      <c r="E26" s="16" t="n"/>
      <c r="F26" s="16" t="n"/>
      <c r="G26" s="16" t="n"/>
      <c r="H26" s="16"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row>
    <row r="27">
      <c r="A27" s="16" t="n">
        <v>22</v>
      </c>
      <c r="B27" s="16" t="n"/>
      <c r="C27" s="16" t="n"/>
      <c r="D27" s="16" t="n"/>
      <c r="E27" s="16" t="n"/>
      <c r="F27" s="16" t="n"/>
      <c r="G27" s="16" t="n"/>
      <c r="H27" s="16"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row>
    <row r="28">
      <c r="A28" s="16" t="n">
        <v>23</v>
      </c>
      <c r="B28" s="16" t="n"/>
      <c r="C28" s="16" t="n"/>
      <c r="D28" s="16" t="n"/>
      <c r="E28" s="16" t="n"/>
      <c r="F28" s="16" t="n"/>
      <c r="G28" s="16" t="n"/>
      <c r="H28" s="16"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row>
    <row r="29">
      <c r="A29" s="16" t="n">
        <v>24</v>
      </c>
      <c r="B29" s="16" t="n"/>
      <c r="C29" s="16" t="n"/>
      <c r="D29" s="16" t="n"/>
      <c r="E29" s="16" t="n"/>
      <c r="F29" s="16" t="n"/>
      <c r="G29" s="16" t="n"/>
      <c r="H29" s="16"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row>
    <row r="30">
      <c r="A30" s="16" t="n">
        <v>25</v>
      </c>
      <c r="B30" s="16" t="n"/>
      <c r="C30" s="16" t="n"/>
      <c r="D30" s="16" t="n"/>
      <c r="E30" s="16" t="n"/>
      <c r="F30" s="16" t="n"/>
      <c r="G30" s="16" t="n"/>
      <c r="H30" s="16"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row>
    <row r="31">
      <c r="A31" s="16" t="n">
        <v>26</v>
      </c>
      <c r="B31" s="16" t="n"/>
      <c r="C31" s="16" t="n"/>
      <c r="D31" s="16" t="n"/>
      <c r="E31" s="16" t="n"/>
      <c r="F31" s="16" t="n"/>
      <c r="G31" s="16" t="n"/>
      <c r="H31" s="16"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row>
    <row r="32">
      <c r="A32" s="16" t="n">
        <v>27</v>
      </c>
      <c r="B32" s="16" t="n"/>
      <c r="C32" s="16" t="n"/>
      <c r="D32" s="16" t="n"/>
      <c r="E32" s="16" t="n"/>
      <c r="F32" s="16" t="n"/>
      <c r="G32" s="16" t="n"/>
      <c r="H32" s="16"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row>
    <row r="33">
      <c r="A33" s="16" t="n">
        <v>28</v>
      </c>
      <c r="B33" s="16" t="n"/>
      <c r="C33" s="16" t="n"/>
      <c r="D33" s="16" t="n"/>
      <c r="E33" s="16" t="n"/>
      <c r="F33" s="16" t="n"/>
      <c r="G33" s="16" t="n"/>
      <c r="H33" s="16"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row>
    <row r="34">
      <c r="A34" s="16" t="n">
        <v>29</v>
      </c>
      <c r="B34" s="16" t="n"/>
      <c r="C34" s="16" t="n"/>
      <c r="D34" s="16" t="n"/>
      <c r="E34" s="16" t="n"/>
      <c r="F34" s="16" t="n"/>
      <c r="G34" s="16" t="n"/>
      <c r="H34" s="16"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row>
    <row r="35">
      <c r="A35" s="16" t="n">
        <v>30</v>
      </c>
      <c r="B35" s="16" t="n"/>
      <c r="C35" s="16" t="n"/>
      <c r="D35" s="16" t="n"/>
      <c r="E35" s="16" t="n"/>
      <c r="F35" s="16" t="n"/>
      <c r="G35" s="16" t="n"/>
      <c r="H35" s="16"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row>
    <row r="36">
      <c r="A36" s="16" t="n">
        <v>31</v>
      </c>
      <c r="B36" s="16" t="n"/>
      <c r="C36" s="16" t="n"/>
      <c r="D36" s="16" t="n"/>
      <c r="E36" s="16" t="n"/>
      <c r="F36" s="16" t="n"/>
      <c r="G36" s="16" t="n"/>
      <c r="H36" s="16"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row>
    <row r="37">
      <c r="A37" s="16" t="n">
        <v>32</v>
      </c>
      <c r="B37" s="16" t="n"/>
      <c r="C37" s="16" t="n"/>
      <c r="D37" s="16" t="n"/>
      <c r="E37" s="16" t="n"/>
      <c r="F37" s="16" t="n"/>
      <c r="G37" s="16" t="n"/>
      <c r="H37" s="16"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row>
    <row r="38">
      <c r="A38" s="16" t="n">
        <v>33</v>
      </c>
      <c r="B38" s="16" t="n"/>
      <c r="C38" s="16" t="n"/>
      <c r="D38" s="16" t="n"/>
      <c r="E38" s="16" t="n"/>
      <c r="F38" s="16" t="n"/>
      <c r="G38" s="16" t="n"/>
      <c r="H38" s="16"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row>
    <row r="39">
      <c r="A39" s="16" t="n">
        <v>34</v>
      </c>
      <c r="B39" s="16" t="n"/>
      <c r="C39" s="16" t="n"/>
      <c r="D39" s="16" t="n"/>
      <c r="E39" s="16" t="n"/>
      <c r="F39" s="16" t="n"/>
      <c r="G39" s="16" t="n"/>
      <c r="H39" s="16"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row>
    <row r="40">
      <c r="A40" s="16" t="n">
        <v>35</v>
      </c>
      <c r="B40" s="16" t="n"/>
      <c r="C40" s="16" t="n"/>
      <c r="D40" s="16" t="n"/>
      <c r="E40" s="16" t="n"/>
      <c r="F40" s="16" t="n"/>
      <c r="G40" s="16" t="n"/>
      <c r="H40" s="16"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row>
    <row r="41">
      <c r="A41" s="16" t="n">
        <v>36</v>
      </c>
      <c r="B41" s="16" t="n"/>
      <c r="C41" s="16" t="n"/>
      <c r="D41" s="16" t="n"/>
      <c r="E41" s="16" t="n"/>
      <c r="F41" s="16" t="n"/>
      <c r="G41" s="16" t="n"/>
      <c r="H41" s="16"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row>
    <row r="42">
      <c r="A42" s="16" t="n">
        <v>37</v>
      </c>
      <c r="B42" s="16" t="n"/>
      <c r="C42" s="16" t="n"/>
      <c r="D42" s="16" t="n"/>
      <c r="E42" s="16" t="n"/>
      <c r="F42" s="16" t="n"/>
      <c r="G42" s="16" t="n"/>
      <c r="H42" s="16"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row>
    <row r="43">
      <c r="A43" s="16" t="n">
        <v>38</v>
      </c>
      <c r="B43" s="16" t="n"/>
      <c r="C43" s="16" t="n"/>
      <c r="D43" s="16" t="n"/>
      <c r="E43" s="16" t="n"/>
      <c r="F43" s="16" t="n"/>
      <c r="G43" s="16" t="n"/>
      <c r="H43" s="16"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row>
    <row r="44">
      <c r="A44" s="16" t="n">
        <v>39</v>
      </c>
      <c r="B44" s="16" t="n"/>
      <c r="C44" s="16" t="n"/>
      <c r="D44" s="16" t="n"/>
      <c r="E44" s="16" t="n"/>
      <c r="F44" s="16" t="n"/>
      <c r="G44" s="16" t="n"/>
      <c r="H44" s="16"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row>
    <row r="45">
      <c r="A45" s="16" t="n">
        <v>40</v>
      </c>
      <c r="B45" s="16" t="n"/>
      <c r="C45" s="16" t="n"/>
      <c r="D45" s="16" t="n"/>
      <c r="E45" s="16" t="n"/>
      <c r="F45" s="16" t="n"/>
      <c r="G45" s="16" t="n"/>
      <c r="H45" s="16"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row>
    <row r="46">
      <c r="A46" s="16" t="n">
        <v>41</v>
      </c>
      <c r="B46" s="16" t="n"/>
      <c r="C46" s="16" t="n"/>
      <c r="D46" s="16" t="n"/>
      <c r="E46" s="16" t="n"/>
      <c r="F46" s="16" t="n"/>
      <c r="G46" s="16" t="n"/>
      <c r="H46" s="16"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row>
    <row r="47">
      <c r="A47" s="16" t="n">
        <v>42</v>
      </c>
      <c r="B47" s="16" t="n"/>
      <c r="C47" s="16" t="n"/>
      <c r="D47" s="16" t="n"/>
      <c r="E47" s="16" t="n"/>
      <c r="F47" s="16" t="n"/>
      <c r="G47" s="16" t="n"/>
      <c r="H47" s="16"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row>
    <row r="48">
      <c r="A48" s="16" t="n">
        <v>43</v>
      </c>
      <c r="B48" s="16" t="n"/>
      <c r="C48" s="16" t="n"/>
      <c r="D48" s="16" t="n"/>
      <c r="E48" s="16" t="n"/>
      <c r="F48" s="16" t="n"/>
      <c r="G48" s="16" t="n"/>
      <c r="H48" s="16"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row>
    <row r="49">
      <c r="A49" s="16" t="n">
        <v>44</v>
      </c>
      <c r="B49" s="16" t="n"/>
      <c r="C49" s="16" t="n"/>
      <c r="D49" s="16" t="n"/>
      <c r="E49" s="16" t="n"/>
      <c r="F49" s="16" t="n"/>
      <c r="G49" s="16" t="n"/>
      <c r="H49" s="16"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row>
    <row r="50">
      <c r="A50" s="16" t="n">
        <v>45</v>
      </c>
      <c r="B50" s="16" t="n"/>
      <c r="C50" s="16" t="n"/>
      <c r="D50" s="16" t="n"/>
      <c r="E50" s="16" t="n"/>
      <c r="F50" s="16" t="n"/>
      <c r="G50" s="16" t="n"/>
      <c r="H50" s="16"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row>
    <row r="51">
      <c r="A51" s="16" t="n">
        <v>46</v>
      </c>
      <c r="B51" s="16" t="n"/>
      <c r="C51" s="16" t="n"/>
      <c r="D51" s="16" t="n"/>
      <c r="E51" s="16" t="n"/>
      <c r="F51" s="16" t="n"/>
      <c r="G51" s="16" t="n"/>
      <c r="H51" s="16"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row>
    <row r="52">
      <c r="A52" s="16" t="n">
        <v>47</v>
      </c>
      <c r="B52" s="16" t="n"/>
      <c r="C52" s="16" t="n"/>
      <c r="D52" s="16" t="n"/>
      <c r="E52" s="16" t="n"/>
      <c r="F52" s="16" t="n"/>
      <c r="G52" s="16" t="n"/>
      <c r="H52" s="16"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row>
    <row r="53">
      <c r="A53" s="16" t="n">
        <v>48</v>
      </c>
      <c r="B53" s="16" t="n"/>
      <c r="C53" s="16" t="n"/>
      <c r="D53" s="16" t="n"/>
      <c r="E53" s="16" t="n"/>
      <c r="F53" s="16" t="n"/>
      <c r="G53" s="16" t="n"/>
      <c r="H53" s="16"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row>
    <row r="54">
      <c r="A54" s="16" t="n">
        <v>49</v>
      </c>
      <c r="B54" s="16" t="n"/>
      <c r="C54" s="16" t="n"/>
      <c r="D54" s="16" t="n"/>
      <c r="E54" s="16" t="n"/>
      <c r="F54" s="16" t="n"/>
      <c r="G54" s="16" t="n"/>
      <c r="H54" s="16"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row>
    <row r="55">
      <c r="A55" s="16" t="n">
        <v>50</v>
      </c>
      <c r="B55" s="16" t="n"/>
      <c r="C55" s="16" t="n"/>
      <c r="D55" s="16" t="n"/>
      <c r="E55" s="16" t="n"/>
      <c r="F55" s="16" t="n"/>
      <c r="G55" s="16" t="n"/>
      <c r="H55" s="16"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row>
    <row r="56">
      <c r="A56" s="16" t="n">
        <v>51</v>
      </c>
      <c r="B56" s="16" t="n"/>
      <c r="C56" s="16" t="n"/>
      <c r="D56" s="16" t="n"/>
      <c r="E56" s="16" t="n"/>
      <c r="F56" s="16" t="n"/>
      <c r="G56" s="16" t="n"/>
      <c r="H56" s="16"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row>
    <row r="57">
      <c r="A57" s="16" t="n">
        <v>52</v>
      </c>
      <c r="B57" s="16" t="n"/>
      <c r="C57" s="16" t="n"/>
      <c r="D57" s="16" t="n"/>
      <c r="E57" s="16" t="n"/>
      <c r="F57" s="16" t="n"/>
      <c r="G57" s="16" t="n"/>
      <c r="H57" s="16"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row>
    <row r="58">
      <c r="A58" s="16" t="n">
        <v>53</v>
      </c>
      <c r="B58" s="16" t="n"/>
      <c r="C58" s="16" t="n"/>
      <c r="D58" s="16" t="n"/>
      <c r="E58" s="16" t="n"/>
      <c r="F58" s="16" t="n"/>
      <c r="G58" s="16" t="n"/>
      <c r="H58" s="16"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row>
    <row r="59">
      <c r="A59" s="16" t="n">
        <v>54</v>
      </c>
      <c r="B59" s="16" t="n"/>
      <c r="C59" s="16" t="n"/>
      <c r="D59" s="16" t="n"/>
      <c r="E59" s="16" t="n"/>
      <c r="F59" s="16" t="n"/>
      <c r="G59" s="16" t="n"/>
      <c r="H59" s="16"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row>
    <row r="60">
      <c r="A60" s="16" t="n">
        <v>55</v>
      </c>
      <c r="B60" s="16" t="n"/>
      <c r="C60" s="16" t="n"/>
      <c r="D60" s="16" t="n"/>
      <c r="E60" s="16" t="n"/>
      <c r="F60" s="16" t="n"/>
      <c r="G60" s="16" t="n"/>
      <c r="H60" s="16"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row>
    <row r="61">
      <c r="A61" s="16" t="n">
        <v>56</v>
      </c>
      <c r="B61" s="16" t="n"/>
      <c r="C61" s="16" t="n"/>
      <c r="D61" s="16" t="n"/>
      <c r="E61" s="16" t="n"/>
      <c r="F61" s="16" t="n"/>
      <c r="G61" s="16" t="n"/>
      <c r="H61" s="16"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row>
    <row r="62">
      <c r="A62" s="16" t="n">
        <v>57</v>
      </c>
      <c r="B62" s="16" t="n"/>
      <c r="C62" s="16" t="n"/>
      <c r="D62" s="16" t="n"/>
      <c r="E62" s="16" t="n"/>
      <c r="F62" s="16" t="n"/>
      <c r="G62" s="16" t="n"/>
      <c r="H62" s="16"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row>
    <row r="63">
      <c r="A63" s="16" t="n">
        <v>58</v>
      </c>
      <c r="B63" s="16" t="n"/>
      <c r="C63" s="16" t="n"/>
      <c r="D63" s="16" t="n"/>
      <c r="E63" s="16" t="n"/>
      <c r="F63" s="16" t="n"/>
      <c r="G63" s="16" t="n"/>
      <c r="H63" s="16"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row>
    <row r="64">
      <c r="A64" s="16" t="n">
        <v>59</v>
      </c>
      <c r="B64" s="16" t="n"/>
      <c r="C64" s="16" t="n"/>
      <c r="D64" s="16" t="n"/>
      <c r="E64" s="16" t="n"/>
      <c r="F64" s="16" t="n"/>
      <c r="G64" s="16" t="n"/>
      <c r="H64" s="16"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row>
    <row r="65">
      <c r="A65" s="16" t="n">
        <v>60</v>
      </c>
      <c r="B65" s="16" t="n"/>
      <c r="C65" s="16" t="n"/>
      <c r="D65" s="16" t="n"/>
      <c r="E65" s="16" t="n"/>
      <c r="F65" s="16" t="n"/>
      <c r="G65" s="16" t="n"/>
      <c r="H65" s="16"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row>
    <row r="66">
      <c r="A66" s="16" t="n">
        <v>61</v>
      </c>
      <c r="B66" s="16" t="n"/>
      <c r="C66" s="16" t="n"/>
      <c r="D66" s="16" t="n"/>
      <c r="E66" s="16" t="n"/>
      <c r="F66" s="16" t="n"/>
      <c r="G66" s="16" t="n"/>
      <c r="H66" s="16"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row>
    <row r="67">
      <c r="A67" s="16" t="n">
        <v>62</v>
      </c>
      <c r="B67" s="16" t="n"/>
      <c r="C67" s="16" t="n"/>
      <c r="D67" s="16" t="n"/>
      <c r="E67" s="16" t="n"/>
      <c r="F67" s="16" t="n"/>
      <c r="G67" s="16" t="n"/>
      <c r="H67" s="16"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row>
    <row r="68">
      <c r="A68" s="16" t="n">
        <v>63</v>
      </c>
      <c r="B68" s="16" t="n"/>
      <c r="C68" s="16" t="n"/>
      <c r="D68" s="16" t="n"/>
      <c r="E68" s="16" t="n"/>
      <c r="F68" s="16" t="n"/>
      <c r="G68" s="16" t="n"/>
      <c r="H68" s="16"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row>
    <row r="69">
      <c r="A69" s="16" t="n">
        <v>64</v>
      </c>
      <c r="B69" s="16" t="n"/>
      <c r="C69" s="16" t="n"/>
      <c r="D69" s="16" t="n"/>
      <c r="E69" s="16" t="n"/>
      <c r="F69" s="16" t="n"/>
      <c r="G69" s="16" t="n"/>
      <c r="H69" s="16"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row>
    <row r="70">
      <c r="A70" s="16" t="n">
        <v>65</v>
      </c>
      <c r="B70" s="16" t="n"/>
      <c r="C70" s="16" t="n"/>
      <c r="D70" s="16" t="n"/>
      <c r="E70" s="16" t="n"/>
      <c r="F70" s="16" t="n"/>
      <c r="G70" s="16" t="n"/>
      <c r="H70" s="16"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row>
    <row r="71">
      <c r="A71" s="16" t="n">
        <v>66</v>
      </c>
      <c r="B71" s="16" t="n"/>
      <c r="C71" s="16" t="n"/>
      <c r="D71" s="16" t="n"/>
      <c r="E71" s="16" t="n"/>
      <c r="F71" s="16" t="n"/>
      <c r="G71" s="16" t="n"/>
      <c r="H71" s="16"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row>
    <row r="72">
      <c r="A72" s="16" t="n">
        <v>67</v>
      </c>
      <c r="B72" s="16" t="n"/>
      <c r="C72" s="16" t="n"/>
      <c r="D72" s="16" t="n"/>
      <c r="E72" s="16" t="n"/>
      <c r="F72" s="16" t="n"/>
      <c r="G72" s="16" t="n"/>
      <c r="H72" s="16"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row>
    <row r="73">
      <c r="A73" s="16" t="n">
        <v>68</v>
      </c>
      <c r="B73" s="16" t="n"/>
      <c r="C73" s="16" t="n"/>
      <c r="D73" s="16" t="n"/>
      <c r="E73" s="16" t="n"/>
      <c r="F73" s="16" t="n"/>
      <c r="G73" s="16" t="n"/>
      <c r="H73" s="16"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row>
    <row r="74">
      <c r="A74" s="16" t="n">
        <v>69</v>
      </c>
      <c r="B74" s="16" t="n"/>
      <c r="C74" s="16" t="n"/>
      <c r="D74" s="16" t="n"/>
      <c r="E74" s="16" t="n"/>
      <c r="F74" s="16" t="n"/>
      <c r="G74" s="16" t="n"/>
      <c r="H74" s="16"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row>
    <row r="75">
      <c r="A75" s="16" t="n">
        <v>70</v>
      </c>
      <c r="B75" s="16" t="n"/>
      <c r="C75" s="16" t="n"/>
      <c r="D75" s="16" t="n"/>
      <c r="E75" s="16" t="n"/>
      <c r="F75" s="16" t="n"/>
      <c r="G75" s="16" t="n"/>
      <c r="H75" s="16"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row>
    <row r="76">
      <c r="A76" s="16" t="n">
        <v>71</v>
      </c>
      <c r="B76" s="16" t="n"/>
      <c r="C76" s="16" t="n"/>
      <c r="D76" s="16" t="n"/>
      <c r="E76" s="16" t="n"/>
      <c r="F76" s="16" t="n"/>
      <c r="G76" s="16" t="n"/>
      <c r="H76" s="16"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row>
    <row r="77">
      <c r="A77" s="16" t="n">
        <v>72</v>
      </c>
      <c r="B77" s="16" t="n"/>
      <c r="C77" s="16" t="n"/>
      <c r="D77" s="16" t="n"/>
      <c r="E77" s="16" t="n"/>
      <c r="F77" s="16" t="n"/>
      <c r="G77" s="16" t="n"/>
      <c r="H77" s="16"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row>
    <row r="78">
      <c r="A78" s="16" t="n">
        <v>73</v>
      </c>
      <c r="B78" s="16" t="n"/>
      <c r="C78" s="16" t="n"/>
      <c r="D78" s="16" t="n"/>
      <c r="E78" s="16" t="n"/>
      <c r="F78" s="16" t="n"/>
      <c r="G78" s="16" t="n"/>
      <c r="H78" s="16"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row>
    <row r="79">
      <c r="A79" s="16" t="n">
        <v>74</v>
      </c>
      <c r="B79" s="16" t="n"/>
      <c r="C79" s="16" t="n"/>
      <c r="D79" s="16" t="n"/>
      <c r="E79" s="16" t="n"/>
      <c r="F79" s="16" t="n"/>
      <c r="G79" s="16" t="n"/>
      <c r="H79" s="16"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row>
    <row r="80">
      <c r="A80" s="16" t="n">
        <v>75</v>
      </c>
      <c r="B80" s="16" t="n"/>
      <c r="C80" s="16" t="n"/>
      <c r="D80" s="16" t="n"/>
      <c r="E80" s="16" t="n"/>
      <c r="F80" s="16" t="n"/>
      <c r="G80" s="16" t="n"/>
      <c r="H80" s="16"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row>
    <row r="81">
      <c r="A81" s="16" t="n">
        <v>76</v>
      </c>
      <c r="B81" s="16" t="n"/>
      <c r="C81" s="16" t="n"/>
      <c r="D81" s="16" t="n"/>
      <c r="E81" s="16" t="n"/>
      <c r="F81" s="16" t="n"/>
      <c r="G81" s="16" t="n"/>
      <c r="H81" s="16"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row>
    <row r="82">
      <c r="A82" s="16" t="n">
        <v>77</v>
      </c>
      <c r="B82" s="16" t="n"/>
      <c r="C82" s="16" t="n"/>
      <c r="D82" s="16" t="n"/>
      <c r="E82" s="16" t="n"/>
      <c r="F82" s="16" t="n"/>
      <c r="G82" s="16" t="n"/>
      <c r="H82" s="16"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row>
    <row r="83">
      <c r="A83" s="16" t="n">
        <v>78</v>
      </c>
      <c r="B83" s="16" t="n"/>
      <c r="C83" s="16" t="n"/>
      <c r="D83" s="16" t="n"/>
      <c r="E83" s="16" t="n"/>
      <c r="F83" s="16" t="n"/>
      <c r="G83" s="16" t="n"/>
      <c r="H83" s="16"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row>
    <row r="84">
      <c r="A84" s="16" t="n">
        <v>79</v>
      </c>
      <c r="B84" s="16" t="n"/>
      <c r="C84" s="16" t="n"/>
      <c r="D84" s="16" t="n"/>
      <c r="E84" s="16" t="n"/>
      <c r="F84" s="16" t="n"/>
      <c r="G84" s="16" t="n"/>
      <c r="H84" s="16"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row>
    <row r="85">
      <c r="A85" s="16" t="n">
        <v>80</v>
      </c>
      <c r="B85" s="16" t="n"/>
      <c r="C85" s="16" t="n"/>
      <c r="D85" s="16" t="n"/>
      <c r="E85" s="16" t="n"/>
      <c r="F85" s="16" t="n"/>
      <c r="G85" s="16" t="n"/>
      <c r="H85" s="16"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row>
    <row r="86">
      <c r="A86" s="16" t="n">
        <v>81</v>
      </c>
      <c r="B86" s="16" t="n"/>
      <c r="C86" s="16" t="n"/>
      <c r="D86" s="16" t="n"/>
      <c r="E86" s="16" t="n"/>
      <c r="F86" s="16" t="n"/>
      <c r="G86" s="16" t="n"/>
      <c r="H86" s="16"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row>
    <row r="87">
      <c r="A87" s="16" t="n">
        <v>82</v>
      </c>
      <c r="B87" s="16" t="n"/>
      <c r="C87" s="16" t="n"/>
      <c r="D87" s="16" t="n"/>
      <c r="E87" s="16" t="n"/>
      <c r="F87" s="16" t="n"/>
      <c r="G87" s="16" t="n"/>
      <c r="H87" s="16"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row>
    <row r="88">
      <c r="A88" s="16" t="n">
        <v>83</v>
      </c>
      <c r="B88" s="16" t="n"/>
      <c r="C88" s="16" t="n"/>
      <c r="D88" s="16" t="n"/>
      <c r="E88" s="16" t="n"/>
      <c r="F88" s="16" t="n"/>
      <c r="G88" s="16" t="n"/>
      <c r="H88" s="16"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row>
    <row r="89">
      <c r="A89" s="16" t="n">
        <v>84</v>
      </c>
      <c r="B89" s="16" t="n"/>
      <c r="C89" s="16" t="n"/>
      <c r="D89" s="16" t="n"/>
      <c r="E89" s="16" t="n"/>
      <c r="F89" s="16" t="n"/>
      <c r="G89" s="16" t="n"/>
      <c r="H89" s="16"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row>
    <row r="90">
      <c r="A90" s="16" t="n">
        <v>85</v>
      </c>
      <c r="B90" s="16" t="n"/>
      <c r="C90" s="16" t="n"/>
      <c r="D90" s="16" t="n"/>
      <c r="E90" s="16" t="n"/>
      <c r="F90" s="16" t="n"/>
      <c r="G90" s="16" t="n"/>
      <c r="H90" s="16"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row>
    <row r="91">
      <c r="A91" s="16" t="n">
        <v>86</v>
      </c>
      <c r="B91" s="16" t="n"/>
      <c r="C91" s="16" t="n"/>
      <c r="D91" s="16" t="n"/>
      <c r="E91" s="16" t="n"/>
      <c r="F91" s="16" t="n"/>
      <c r="G91" s="16" t="n"/>
      <c r="H91" s="16"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row>
    <row r="92">
      <c r="A92" s="16" t="n">
        <v>87</v>
      </c>
      <c r="B92" s="16" t="n"/>
      <c r="C92" s="16" t="n"/>
      <c r="D92" s="16" t="n"/>
      <c r="E92" s="16" t="n"/>
      <c r="F92" s="16" t="n"/>
      <c r="G92" s="16" t="n"/>
      <c r="H92" s="16"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row>
    <row r="93">
      <c r="A93" s="16" t="n">
        <v>88</v>
      </c>
      <c r="B93" s="16" t="n"/>
      <c r="C93" s="16" t="n"/>
      <c r="D93" s="16" t="n"/>
      <c r="E93" s="16" t="n"/>
      <c r="F93" s="16" t="n"/>
      <c r="G93" s="16" t="n"/>
      <c r="H93" s="16"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row>
    <row r="94">
      <c r="A94" s="16" t="n">
        <v>89</v>
      </c>
      <c r="B94" s="16" t="n"/>
      <c r="C94" s="16" t="n"/>
      <c r="D94" s="16" t="n"/>
      <c r="E94" s="16" t="n"/>
      <c r="F94" s="16" t="n"/>
      <c r="G94" s="16" t="n"/>
      <c r="H94" s="16"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row>
    <row r="95">
      <c r="A95" s="16" t="n">
        <v>90</v>
      </c>
      <c r="B95" s="16" t="n"/>
      <c r="C95" s="16" t="n"/>
      <c r="D95" s="16" t="n"/>
      <c r="E95" s="16" t="n"/>
      <c r="F95" s="16" t="n"/>
      <c r="G95" s="16" t="n"/>
      <c r="H95" s="16"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row>
    <row r="96">
      <c r="A96" s="16" t="n">
        <v>91</v>
      </c>
      <c r="B96" s="16" t="n"/>
      <c r="C96" s="16" t="n"/>
      <c r="D96" s="16" t="n"/>
      <c r="E96" s="16" t="n"/>
      <c r="F96" s="16" t="n"/>
      <c r="G96" s="16" t="n"/>
      <c r="H96" s="16"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row>
    <row r="97">
      <c r="A97" s="16" t="n">
        <v>92</v>
      </c>
      <c r="B97" s="16" t="n"/>
      <c r="C97" s="16" t="n"/>
      <c r="D97" s="16" t="n"/>
      <c r="E97" s="16" t="n"/>
      <c r="F97" s="16" t="n"/>
      <c r="G97" s="16" t="n"/>
      <c r="H97" s="16"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row>
    <row r="98">
      <c r="A98" s="16" t="n">
        <v>93</v>
      </c>
      <c r="B98" s="16" t="n"/>
      <c r="C98" s="16" t="n"/>
      <c r="D98" s="16" t="n"/>
      <c r="E98" s="16" t="n"/>
      <c r="F98" s="16" t="n"/>
      <c r="G98" s="16" t="n"/>
      <c r="H98" s="16"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row>
    <row r="99">
      <c r="A99" s="16" t="n">
        <v>94</v>
      </c>
      <c r="B99" s="16" t="n"/>
      <c r="C99" s="16" t="n"/>
      <c r="D99" s="16" t="n"/>
      <c r="E99" s="16" t="n"/>
      <c r="F99" s="16" t="n"/>
      <c r="G99" s="16" t="n"/>
      <c r="H99" s="16"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row>
    <row r="100">
      <c r="A100" s="16" t="n">
        <v>95</v>
      </c>
      <c r="B100" s="16" t="n"/>
      <c r="C100" s="16" t="n"/>
      <c r="D100" s="16" t="n"/>
      <c r="E100" s="16" t="n"/>
      <c r="F100" s="16" t="n"/>
      <c r="G100" s="16" t="n"/>
      <c r="H100" s="16"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row>
    <row r="101">
      <c r="A101" s="16" t="n">
        <v>96</v>
      </c>
      <c r="B101" s="16" t="n"/>
      <c r="C101" s="16" t="n"/>
      <c r="D101" s="16" t="n"/>
      <c r="E101" s="16" t="n"/>
      <c r="F101" s="16" t="n"/>
      <c r="G101" s="16" t="n"/>
      <c r="H101" s="16"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row>
    <row r="102">
      <c r="A102" s="16" t="n">
        <v>97</v>
      </c>
      <c r="B102" s="16" t="n"/>
      <c r="C102" s="16" t="n"/>
      <c r="D102" s="16" t="n"/>
      <c r="E102" s="16" t="n"/>
      <c r="F102" s="16" t="n"/>
      <c r="G102" s="16" t="n"/>
      <c r="H102" s="16"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row>
    <row r="103">
      <c r="A103" s="16" t="n">
        <v>98</v>
      </c>
      <c r="B103" s="16" t="n"/>
      <c r="C103" s="16" t="n"/>
      <c r="D103" s="16" t="n"/>
      <c r="E103" s="16" t="n"/>
      <c r="F103" s="16" t="n"/>
      <c r="G103" s="16" t="n"/>
      <c r="H103" s="16"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row>
    <row r="104">
      <c r="A104" s="16" t="n">
        <v>99</v>
      </c>
      <c r="B104" s="16" t="n"/>
      <c r="C104" s="16" t="n"/>
      <c r="D104" s="16" t="n"/>
      <c r="E104" s="16" t="n"/>
      <c r="F104" s="16" t="n"/>
      <c r="G104" s="16" t="n"/>
      <c r="H104" s="16"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row>
    <row r="105">
      <c r="A105" s="16" t="n">
        <v>100</v>
      </c>
      <c r="B105" s="16" t="n"/>
      <c r="C105" s="16" t="n"/>
      <c r="D105" s="16" t="n"/>
      <c r="E105" s="16" t="n"/>
      <c r="F105" s="16" t="n"/>
      <c r="G105" s="16" t="n"/>
      <c r="H105" s="16"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row>
    <row r="106">
      <c r="A106" s="16" t="n">
        <v>101</v>
      </c>
      <c r="B106" s="16" t="n"/>
      <c r="C106" s="16" t="n"/>
      <c r="D106" s="16" t="n"/>
      <c r="E106" s="16" t="n"/>
      <c r="F106" s="16" t="n"/>
      <c r="G106" s="16" t="n"/>
      <c r="H106" s="16"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row>
    <row r="107">
      <c r="A107" s="16" t="n">
        <v>102</v>
      </c>
      <c r="B107" s="16" t="n"/>
      <c r="C107" s="16" t="n"/>
      <c r="D107" s="16" t="n"/>
      <c r="E107" s="16" t="n"/>
      <c r="F107" s="16" t="n"/>
      <c r="G107" s="16" t="n"/>
      <c r="H107" s="16"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row>
    <row r="108">
      <c r="A108" s="16" t="n">
        <v>103</v>
      </c>
      <c r="B108" s="16" t="n"/>
      <c r="C108" s="16" t="n"/>
      <c r="D108" s="16" t="n"/>
      <c r="E108" s="16" t="n"/>
      <c r="F108" s="16" t="n"/>
      <c r="G108" s="16" t="n"/>
      <c r="H108" s="16"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row>
    <row r="109">
      <c r="A109" s="16" t="n">
        <v>104</v>
      </c>
      <c r="B109" s="16" t="n"/>
      <c r="C109" s="16" t="n"/>
      <c r="D109" s="16" t="n"/>
      <c r="E109" s="16" t="n"/>
      <c r="F109" s="16" t="n"/>
      <c r="G109" s="16" t="n"/>
      <c r="H109" s="16"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row>
    <row r="110">
      <c r="A110" s="16" t="n">
        <v>105</v>
      </c>
      <c r="B110" s="16" t="n"/>
      <c r="C110" s="16" t="n"/>
      <c r="D110" s="16" t="n"/>
      <c r="E110" s="16" t="n"/>
      <c r="F110" s="16" t="n"/>
      <c r="G110" s="16" t="n"/>
      <c r="H110" s="16"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row>
    <row r="111">
      <c r="A111" s="16" t="n">
        <v>106</v>
      </c>
      <c r="B111" s="16" t="n"/>
      <c r="C111" s="16" t="n"/>
      <c r="D111" s="16" t="n"/>
      <c r="E111" s="16" t="n"/>
      <c r="F111" s="16" t="n"/>
      <c r="G111" s="16" t="n"/>
      <c r="H111" s="16"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row>
    <row r="112">
      <c r="A112" s="16" t="n">
        <v>107</v>
      </c>
      <c r="B112" s="16" t="n"/>
      <c r="C112" s="16" t="n"/>
      <c r="D112" s="16" t="n"/>
      <c r="E112" s="16" t="n"/>
      <c r="F112" s="16" t="n"/>
      <c r="G112" s="16" t="n"/>
      <c r="H112" s="16"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row>
    <row r="113">
      <c r="A113" s="16" t="n">
        <v>108</v>
      </c>
      <c r="B113" s="16" t="n"/>
      <c r="C113" s="16" t="n"/>
      <c r="D113" s="16" t="n"/>
      <c r="E113" s="16" t="n"/>
      <c r="F113" s="16" t="n"/>
      <c r="G113" s="16" t="n"/>
      <c r="H113" s="16"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row>
    <row r="114">
      <c r="A114" s="16" t="n">
        <v>109</v>
      </c>
      <c r="B114" s="16" t="n"/>
      <c r="C114" s="16" t="n"/>
      <c r="D114" s="16" t="n"/>
      <c r="E114" s="16" t="n"/>
      <c r="F114" s="16" t="n"/>
      <c r="G114" s="16" t="n"/>
      <c r="H114" s="16"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row>
    <row r="115">
      <c r="A115" s="16" t="n">
        <v>110</v>
      </c>
      <c r="B115" s="16" t="n"/>
      <c r="C115" s="16" t="n"/>
      <c r="D115" s="16" t="n"/>
      <c r="E115" s="16" t="n"/>
      <c r="F115" s="16" t="n"/>
      <c r="G115" s="16" t="n"/>
      <c r="H115" s="16"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row>
    <row r="116">
      <c r="A116" s="16" t="n">
        <v>111</v>
      </c>
      <c r="B116" s="16" t="n"/>
      <c r="C116" s="16" t="n"/>
      <c r="D116" s="16" t="n"/>
      <c r="E116" s="16" t="n"/>
      <c r="F116" s="16" t="n"/>
      <c r="G116" s="16" t="n"/>
      <c r="H116" s="16"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row>
    <row r="117">
      <c r="A117" s="16" t="n">
        <v>112</v>
      </c>
      <c r="B117" s="16" t="n"/>
      <c r="C117" s="16" t="n"/>
      <c r="D117" s="16" t="n"/>
      <c r="E117" s="16" t="n"/>
      <c r="F117" s="16" t="n"/>
      <c r="G117" s="16" t="n"/>
      <c r="H117" s="16"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row>
    <row r="118">
      <c r="A118" s="16" t="n">
        <v>113</v>
      </c>
      <c r="B118" s="16" t="n"/>
      <c r="C118" s="16" t="n"/>
      <c r="D118" s="16" t="n"/>
      <c r="E118" s="16" t="n"/>
      <c r="F118" s="16" t="n"/>
      <c r="G118" s="16" t="n"/>
      <c r="H118" s="16"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row>
    <row r="119">
      <c r="A119" s="16" t="n">
        <v>114</v>
      </c>
      <c r="B119" s="16" t="n"/>
      <c r="C119" s="16" t="n"/>
      <c r="D119" s="16" t="n"/>
      <c r="E119" s="16" t="n"/>
      <c r="F119" s="16" t="n"/>
      <c r="G119" s="16" t="n"/>
      <c r="H119" s="16"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row>
    <row r="120">
      <c r="A120" s="16" t="n">
        <v>115</v>
      </c>
      <c r="B120" s="16" t="n"/>
      <c r="C120" s="16" t="n"/>
      <c r="D120" s="16" t="n"/>
      <c r="E120" s="16" t="n"/>
      <c r="F120" s="16" t="n"/>
      <c r="G120" s="16" t="n"/>
      <c r="H120" s="16"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row>
    <row r="121">
      <c r="A121" s="16" t="n">
        <v>116</v>
      </c>
      <c r="B121" s="16" t="n"/>
      <c r="C121" s="16" t="n"/>
      <c r="D121" s="16" t="n"/>
      <c r="E121" s="16" t="n"/>
      <c r="F121" s="16" t="n"/>
      <c r="G121" s="16" t="n"/>
      <c r="H121" s="16"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row>
    <row r="122">
      <c r="A122" s="16" t="n">
        <v>117</v>
      </c>
      <c r="B122" s="16" t="n"/>
      <c r="C122" s="16" t="n"/>
      <c r="D122" s="16" t="n"/>
      <c r="E122" s="16" t="n"/>
      <c r="F122" s="16" t="n"/>
      <c r="G122" s="16" t="n"/>
      <c r="H122" s="16"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row>
    <row r="123">
      <c r="A123" s="16" t="n">
        <v>118</v>
      </c>
      <c r="B123" s="16" t="n"/>
      <c r="C123" s="16" t="n"/>
      <c r="D123" s="16" t="n"/>
      <c r="E123" s="16" t="n"/>
      <c r="F123" s="16" t="n"/>
      <c r="G123" s="16" t="n"/>
      <c r="H123" s="16"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row>
    <row r="124">
      <c r="A124" s="16" t="n">
        <v>119</v>
      </c>
      <c r="B124" s="16" t="n"/>
      <c r="C124" s="16" t="n"/>
      <c r="D124" s="16" t="n"/>
      <c r="E124" s="16" t="n"/>
      <c r="F124" s="16" t="n"/>
      <c r="G124" s="16" t="n"/>
      <c r="H124" s="16"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row>
    <row r="125">
      <c r="A125" s="16" t="n">
        <v>120</v>
      </c>
      <c r="B125" s="16" t="n"/>
      <c r="C125" s="16" t="n"/>
      <c r="D125" s="16" t="n"/>
      <c r="E125" s="16" t="n"/>
      <c r="F125" s="16" t="n"/>
      <c r="G125" s="16" t="n"/>
      <c r="H125" s="16"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row>
    <row r="126">
      <c r="A126" s="16" t="n">
        <v>121</v>
      </c>
      <c r="B126" s="16" t="n"/>
      <c r="C126" s="16" t="n"/>
      <c r="D126" s="16" t="n"/>
      <c r="E126" s="16" t="n"/>
      <c r="F126" s="16" t="n"/>
      <c r="G126" s="16" t="n"/>
      <c r="H126" s="16"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row>
    <row r="127">
      <c r="A127" s="16" t="n">
        <v>122</v>
      </c>
      <c r="B127" s="16" t="n"/>
      <c r="C127" s="16" t="n"/>
      <c r="D127" s="16" t="n"/>
      <c r="E127" s="16" t="n"/>
      <c r="F127" s="16" t="n"/>
      <c r="G127" s="16" t="n"/>
      <c r="H127" s="16"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row>
    <row r="128">
      <c r="A128" s="16" t="n">
        <v>123</v>
      </c>
      <c r="B128" s="16" t="n"/>
      <c r="C128" s="16" t="n"/>
      <c r="D128" s="16" t="n"/>
      <c r="E128" s="16" t="n"/>
      <c r="F128" s="16" t="n"/>
      <c r="G128" s="16" t="n"/>
      <c r="H128" s="16"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row>
    <row r="129">
      <c r="A129" s="16" t="n">
        <v>124</v>
      </c>
      <c r="B129" s="16" t="n"/>
      <c r="C129" s="16" t="n"/>
      <c r="D129" s="16" t="n"/>
      <c r="E129" s="16" t="n"/>
      <c r="F129" s="16" t="n"/>
      <c r="G129" s="16" t="n"/>
      <c r="H129" s="16"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row>
    <row r="130">
      <c r="A130" s="16" t="n">
        <v>125</v>
      </c>
      <c r="B130" s="16" t="n"/>
      <c r="C130" s="16" t="n"/>
      <c r="D130" s="16" t="n"/>
      <c r="E130" s="16" t="n"/>
      <c r="F130" s="16" t="n"/>
      <c r="G130" s="16" t="n"/>
      <c r="H130" s="16"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row>
    <row r="131">
      <c r="A131" s="16" t="n">
        <v>126</v>
      </c>
      <c r="B131" s="16" t="n"/>
      <c r="C131" s="16" t="n"/>
      <c r="D131" s="16" t="n"/>
      <c r="E131" s="16" t="n"/>
      <c r="F131" s="16" t="n"/>
      <c r="G131" s="16" t="n"/>
      <c r="H131" s="16"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row>
    <row r="132">
      <c r="A132" s="16" t="n">
        <v>127</v>
      </c>
      <c r="B132" s="16" t="n"/>
      <c r="C132" s="16" t="n"/>
      <c r="D132" s="16" t="n"/>
      <c r="E132" s="16" t="n"/>
      <c r="F132" s="16" t="n"/>
      <c r="G132" s="16" t="n"/>
      <c r="H132" s="16"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row>
    <row r="133">
      <c r="A133" s="16" t="n">
        <v>128</v>
      </c>
      <c r="B133" s="16" t="n"/>
      <c r="C133" s="16" t="n"/>
      <c r="D133" s="16" t="n"/>
      <c r="E133" s="16" t="n"/>
      <c r="F133" s="16" t="n"/>
      <c r="G133" s="16" t="n"/>
      <c r="H133" s="16"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row>
    <row r="134">
      <c r="A134" s="16" t="n">
        <v>129</v>
      </c>
      <c r="B134" s="16" t="n"/>
      <c r="C134" s="16" t="n"/>
      <c r="D134" s="16" t="n"/>
      <c r="E134" s="16" t="n"/>
      <c r="F134" s="16" t="n"/>
      <c r="G134" s="16" t="n"/>
      <c r="H134" s="16"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row>
    <row r="135">
      <c r="A135" s="16" t="n">
        <v>130</v>
      </c>
      <c r="B135" s="16" t="n"/>
      <c r="C135" s="16" t="n"/>
      <c r="D135" s="16" t="n"/>
      <c r="E135" s="16" t="n"/>
      <c r="F135" s="16" t="n"/>
      <c r="G135" s="16" t="n"/>
      <c r="H135" s="16"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row>
    <row r="136">
      <c r="A136" s="16" t="n">
        <v>131</v>
      </c>
      <c r="B136" s="16" t="n"/>
      <c r="C136" s="16" t="n"/>
      <c r="D136" s="16" t="n"/>
      <c r="E136" s="16" t="n"/>
      <c r="F136" s="16" t="n"/>
      <c r="G136" s="16" t="n"/>
      <c r="H136" s="16"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row>
    <row r="137">
      <c r="A137" s="16" t="n">
        <v>132</v>
      </c>
      <c r="B137" s="16" t="n"/>
      <c r="C137" s="16" t="n"/>
      <c r="D137" s="16" t="n"/>
      <c r="E137" s="16" t="n"/>
      <c r="F137" s="16" t="n"/>
      <c r="G137" s="16" t="n"/>
      <c r="H137" s="16"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row>
    <row r="138">
      <c r="A138" s="16" t="n">
        <v>133</v>
      </c>
      <c r="B138" s="16" t="n"/>
      <c r="C138" s="16" t="n"/>
      <c r="D138" s="16" t="n"/>
      <c r="E138" s="16" t="n"/>
      <c r="F138" s="16" t="n"/>
      <c r="G138" s="16" t="n"/>
      <c r="H138" s="16"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row>
    <row r="139">
      <c r="A139" s="16" t="n">
        <v>134</v>
      </c>
      <c r="B139" s="16" t="n"/>
      <c r="C139" s="16" t="n"/>
      <c r="D139" s="16" t="n"/>
      <c r="E139" s="16" t="n"/>
      <c r="F139" s="16" t="n"/>
      <c r="G139" s="16" t="n"/>
      <c r="H139" s="16"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row>
    <row r="140">
      <c r="A140" s="16" t="n">
        <v>135</v>
      </c>
      <c r="B140" s="16" t="n"/>
      <c r="C140" s="16" t="n"/>
      <c r="D140" s="16" t="n"/>
      <c r="E140" s="16" t="n"/>
      <c r="F140" s="16" t="n"/>
      <c r="G140" s="16" t="n"/>
      <c r="H140" s="16"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row>
    <row r="141">
      <c r="A141" s="16" t="n">
        <v>136</v>
      </c>
      <c r="B141" s="16" t="n"/>
      <c r="C141" s="16" t="n"/>
      <c r="D141" s="16" t="n"/>
      <c r="E141" s="16" t="n"/>
      <c r="F141" s="16" t="n"/>
      <c r="G141" s="16" t="n"/>
      <c r="H141" s="16"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row>
    <row r="142">
      <c r="A142" s="16" t="n">
        <v>137</v>
      </c>
      <c r="B142" s="16" t="n"/>
      <c r="C142" s="16" t="n"/>
      <c r="D142" s="16" t="n"/>
      <c r="E142" s="16" t="n"/>
      <c r="F142" s="16" t="n"/>
      <c r="G142" s="16" t="n"/>
      <c r="H142" s="16"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row>
    <row r="143">
      <c r="A143" s="16" t="n">
        <v>138</v>
      </c>
      <c r="B143" s="16" t="n"/>
      <c r="C143" s="16" t="n"/>
      <c r="D143" s="16" t="n"/>
      <c r="E143" s="16" t="n"/>
      <c r="F143" s="16" t="n"/>
      <c r="G143" s="16" t="n"/>
      <c r="H143" s="16"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row>
    <row r="144">
      <c r="A144" s="16" t="n">
        <v>139</v>
      </c>
      <c r="B144" s="16" t="n"/>
      <c r="C144" s="16" t="n"/>
      <c r="D144" s="16" t="n"/>
      <c r="E144" s="16" t="n"/>
      <c r="F144" s="16" t="n"/>
      <c r="G144" s="16" t="n"/>
      <c r="H144" s="16"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row>
    <row r="145">
      <c r="A145" s="16" t="n">
        <v>140</v>
      </c>
      <c r="B145" s="16" t="n"/>
      <c r="C145" s="16" t="n"/>
      <c r="D145" s="16" t="n"/>
      <c r="E145" s="16" t="n"/>
      <c r="F145" s="16" t="n"/>
      <c r="G145" s="16" t="n"/>
      <c r="H145" s="16"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row>
    <row r="146">
      <c r="A146" s="16" t="n">
        <v>141</v>
      </c>
      <c r="B146" s="16" t="n"/>
      <c r="C146" s="16" t="n"/>
      <c r="D146" s="16" t="n"/>
      <c r="E146" s="16" t="n"/>
      <c r="F146" s="16" t="n"/>
      <c r="G146" s="16" t="n"/>
      <c r="H146" s="16"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row>
    <row r="147">
      <c r="A147" s="16" t="n">
        <v>142</v>
      </c>
      <c r="B147" s="16" t="n"/>
      <c r="C147" s="16" t="n"/>
      <c r="D147" s="16" t="n"/>
      <c r="E147" s="16" t="n"/>
      <c r="F147" s="16" t="n"/>
      <c r="G147" s="16" t="n"/>
      <c r="H147" s="16"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row>
    <row r="148">
      <c r="A148" s="16" t="n">
        <v>143</v>
      </c>
      <c r="B148" s="16" t="n"/>
      <c r="C148" s="16" t="n"/>
      <c r="D148" s="16" t="n"/>
      <c r="E148" s="16" t="n"/>
      <c r="F148" s="16" t="n"/>
      <c r="G148" s="16" t="n"/>
      <c r="H148" s="16"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row>
    <row r="149">
      <c r="A149" s="16" t="n">
        <v>144</v>
      </c>
      <c r="B149" s="16" t="n"/>
      <c r="C149" s="16" t="n"/>
      <c r="D149" s="16" t="n"/>
      <c r="E149" s="16" t="n"/>
      <c r="F149" s="16" t="n"/>
      <c r="G149" s="16" t="n"/>
      <c r="H149" s="16"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row>
    <row r="150">
      <c r="A150" s="16" t="n">
        <v>145</v>
      </c>
      <c r="B150" s="16" t="n"/>
      <c r="C150" s="16" t="n"/>
      <c r="D150" s="16" t="n"/>
      <c r="E150" s="16" t="n"/>
      <c r="F150" s="16" t="n"/>
      <c r="G150" s="16" t="n"/>
      <c r="H150" s="16"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row>
    <row r="151">
      <c r="A151" s="16" t="n">
        <v>146</v>
      </c>
      <c r="B151" s="16" t="n"/>
      <c r="C151" s="16" t="n"/>
      <c r="D151" s="16" t="n"/>
      <c r="E151" s="16" t="n"/>
      <c r="F151" s="16" t="n"/>
      <c r="G151" s="16" t="n"/>
      <c r="H151" s="16"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row>
    <row r="152">
      <c r="A152" s="16" t="n">
        <v>147</v>
      </c>
      <c r="B152" s="16" t="n"/>
      <c r="C152" s="16" t="n"/>
      <c r="D152" s="16" t="n"/>
      <c r="E152" s="16" t="n"/>
      <c r="F152" s="16" t="n"/>
      <c r="G152" s="16" t="n"/>
      <c r="H152" s="16"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row>
    <row r="153">
      <c r="A153" s="16" t="n">
        <v>148</v>
      </c>
      <c r="B153" s="16" t="n"/>
      <c r="C153" s="16" t="n"/>
      <c r="D153" s="16" t="n"/>
      <c r="E153" s="16" t="n"/>
      <c r="F153" s="16" t="n"/>
      <c r="G153" s="16" t="n"/>
      <c r="H153" s="16"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row>
    <row r="154">
      <c r="A154" s="16" t="n">
        <v>149</v>
      </c>
      <c r="B154" s="16" t="n"/>
      <c r="C154" s="16" t="n"/>
      <c r="D154" s="16" t="n"/>
      <c r="E154" s="16" t="n"/>
      <c r="F154" s="16" t="n"/>
      <c r="G154" s="16" t="n"/>
      <c r="H154" s="16"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row>
    <row r="155">
      <c r="A155" s="16" t="n">
        <v>150</v>
      </c>
      <c r="B155" s="16" t="n"/>
      <c r="C155" s="16" t="n"/>
      <c r="D155" s="16" t="n"/>
      <c r="E155" s="16" t="n"/>
      <c r="F155" s="16" t="n"/>
      <c r="G155" s="16" t="n"/>
      <c r="H155" s="16"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row>
    <row r="156">
      <c r="A156" s="16" t="n">
        <v>151</v>
      </c>
      <c r="B156" s="16" t="n"/>
      <c r="C156" s="16" t="n"/>
      <c r="D156" s="16" t="n"/>
      <c r="E156" s="16" t="n"/>
      <c r="F156" s="16" t="n"/>
      <c r="G156" s="16" t="n"/>
      <c r="H156" s="16"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row>
    <row r="157">
      <c r="A157" s="16" t="n">
        <v>152</v>
      </c>
      <c r="B157" s="16" t="n"/>
      <c r="C157" s="16" t="n"/>
      <c r="D157" s="16" t="n"/>
      <c r="E157" s="16" t="n"/>
      <c r="F157" s="16" t="n"/>
      <c r="G157" s="16" t="n"/>
      <c r="H157" s="16"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row>
    <row r="158">
      <c r="A158" s="16" t="n">
        <v>153</v>
      </c>
      <c r="B158" s="16" t="n"/>
      <c r="C158" s="16" t="n"/>
      <c r="D158" s="16" t="n"/>
      <c r="E158" s="16" t="n"/>
      <c r="F158" s="16" t="n"/>
      <c r="G158" s="16" t="n"/>
      <c r="H158" s="16"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row>
    <row r="159">
      <c r="A159" s="16" t="n">
        <v>154</v>
      </c>
      <c r="B159" s="16" t="n"/>
      <c r="C159" s="16" t="n"/>
      <c r="D159" s="16" t="n"/>
      <c r="E159" s="16" t="n"/>
      <c r="F159" s="16" t="n"/>
      <c r="G159" s="16" t="n"/>
      <c r="H159" s="16"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row>
    <row r="160">
      <c r="A160" s="16" t="n">
        <v>155</v>
      </c>
      <c r="B160" s="16" t="n"/>
      <c r="C160" s="16" t="n"/>
      <c r="D160" s="16" t="n"/>
      <c r="E160" s="16" t="n"/>
      <c r="F160" s="16" t="n"/>
      <c r="G160" s="16" t="n"/>
      <c r="H160" s="16"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row>
    <row r="161">
      <c r="A161" s="16" t="n">
        <v>156</v>
      </c>
      <c r="B161" s="16" t="n"/>
      <c r="C161" s="16" t="n"/>
      <c r="D161" s="16" t="n"/>
      <c r="E161" s="16" t="n"/>
      <c r="F161" s="16" t="n"/>
      <c r="G161" s="16" t="n"/>
      <c r="H161" s="16"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row>
    <row r="162">
      <c r="A162" s="16" t="n">
        <v>157</v>
      </c>
      <c r="B162" s="16" t="n"/>
      <c r="C162" s="16" t="n"/>
      <c r="D162" s="16" t="n"/>
      <c r="E162" s="16" t="n"/>
      <c r="F162" s="16" t="n"/>
      <c r="G162" s="16" t="n"/>
      <c r="H162" s="16"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row>
    <row r="163">
      <c r="A163" s="16" t="n">
        <v>158</v>
      </c>
      <c r="B163" s="16" t="n"/>
      <c r="C163" s="16" t="n"/>
      <c r="D163" s="16" t="n"/>
      <c r="E163" s="16" t="n"/>
      <c r="F163" s="16" t="n"/>
      <c r="G163" s="16" t="n"/>
      <c r="H163" s="16"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row>
    <row r="164">
      <c r="A164" s="16" t="n">
        <v>159</v>
      </c>
      <c r="B164" s="16" t="n"/>
      <c r="C164" s="16" t="n"/>
      <c r="D164" s="16" t="n"/>
      <c r="E164" s="16" t="n"/>
      <c r="F164" s="16" t="n"/>
      <c r="G164" s="16" t="n"/>
      <c r="H164" s="16"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row>
    <row r="165">
      <c r="A165" s="16" t="n">
        <v>160</v>
      </c>
      <c r="B165" s="16" t="n"/>
      <c r="C165" s="16" t="n"/>
      <c r="D165" s="16" t="n"/>
      <c r="E165" s="16" t="n"/>
      <c r="F165" s="16" t="n"/>
      <c r="G165" s="16" t="n"/>
      <c r="H165" s="16"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row>
    <row r="166">
      <c r="A166" s="16" t="n">
        <v>161</v>
      </c>
      <c r="B166" s="16" t="n"/>
      <c r="C166" s="16" t="n"/>
      <c r="D166" s="16" t="n"/>
      <c r="E166" s="16" t="n"/>
      <c r="F166" s="16" t="n"/>
      <c r="G166" s="16" t="n"/>
      <c r="H166" s="16"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row>
    <row r="167">
      <c r="A167" s="16" t="n">
        <v>162</v>
      </c>
      <c r="B167" s="16" t="n"/>
      <c r="C167" s="16" t="n"/>
      <c r="D167" s="16" t="n"/>
      <c r="E167" s="16" t="n"/>
      <c r="F167" s="16" t="n"/>
      <c r="G167" s="16" t="n"/>
      <c r="H167" s="16"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row>
    <row r="168">
      <c r="A168" s="16" t="n">
        <v>163</v>
      </c>
      <c r="B168" s="16" t="n"/>
      <c r="C168" s="16" t="n"/>
      <c r="D168" s="16" t="n"/>
      <c r="E168" s="16" t="n"/>
      <c r="F168" s="16" t="n"/>
      <c r="G168" s="16" t="n"/>
      <c r="H168" s="16"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row>
    <row r="169">
      <c r="A169" s="16" t="n">
        <v>164</v>
      </c>
      <c r="B169" s="16" t="n"/>
      <c r="C169" s="16" t="n"/>
      <c r="D169" s="16" t="n"/>
      <c r="E169" s="16" t="n"/>
      <c r="F169" s="16" t="n"/>
      <c r="G169" s="16" t="n"/>
      <c r="H169" s="16"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row>
    <row r="170">
      <c r="A170" s="16" t="n">
        <v>165</v>
      </c>
      <c r="B170" s="16" t="n"/>
      <c r="C170" s="16" t="n"/>
      <c r="D170" s="16" t="n"/>
      <c r="E170" s="16" t="n"/>
      <c r="F170" s="16" t="n"/>
      <c r="G170" s="16" t="n"/>
      <c r="H170" s="16"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row>
    <row r="171">
      <c r="A171" s="16" t="n">
        <v>166</v>
      </c>
      <c r="B171" s="16" t="n"/>
      <c r="C171" s="16" t="n"/>
      <c r="D171" s="16" t="n"/>
      <c r="E171" s="16" t="n"/>
      <c r="F171" s="16" t="n"/>
      <c r="G171" s="16" t="n"/>
      <c r="H171" s="16"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row>
    <row r="172">
      <c r="A172" s="16" t="n">
        <v>167</v>
      </c>
      <c r="B172" s="16" t="n"/>
      <c r="C172" s="16" t="n"/>
      <c r="D172" s="16" t="n"/>
      <c r="E172" s="16" t="n"/>
      <c r="F172" s="16" t="n"/>
      <c r="G172" s="16" t="n"/>
      <c r="H172" s="16"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row>
    <row r="173">
      <c r="A173" s="16" t="n">
        <v>168</v>
      </c>
      <c r="B173" s="16" t="n"/>
      <c r="C173" s="16" t="n"/>
      <c r="D173" s="16" t="n"/>
      <c r="E173" s="16" t="n"/>
      <c r="F173" s="16" t="n"/>
      <c r="G173" s="16" t="n"/>
      <c r="H173" s="16"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row>
    <row r="174">
      <c r="A174" s="16" t="n">
        <v>169</v>
      </c>
      <c r="B174" s="16" t="n"/>
      <c r="C174" s="16" t="n"/>
      <c r="D174" s="16" t="n"/>
      <c r="E174" s="16" t="n"/>
      <c r="F174" s="16" t="n"/>
      <c r="G174" s="16" t="n"/>
      <c r="H174" s="16"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row>
    <row r="175">
      <c r="A175" s="16" t="n">
        <v>170</v>
      </c>
      <c r="B175" s="16" t="n"/>
      <c r="C175" s="16" t="n"/>
      <c r="D175" s="16" t="n"/>
      <c r="E175" s="16" t="n"/>
      <c r="F175" s="16" t="n"/>
      <c r="G175" s="16" t="n"/>
      <c r="H175" s="16"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row>
    <row r="176">
      <c r="A176" s="16" t="n">
        <v>171</v>
      </c>
      <c r="B176" s="16" t="n"/>
      <c r="C176" s="16" t="n"/>
      <c r="D176" s="16" t="n"/>
      <c r="E176" s="16" t="n"/>
      <c r="F176" s="16" t="n"/>
      <c r="G176" s="16" t="n"/>
      <c r="H176" s="16"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row>
    <row r="177">
      <c r="A177" s="16" t="n">
        <v>172</v>
      </c>
      <c r="B177" s="16" t="n"/>
      <c r="C177" s="16" t="n"/>
      <c r="D177" s="16" t="n"/>
      <c r="E177" s="16" t="n"/>
      <c r="F177" s="16" t="n"/>
      <c r="G177" s="16" t="n"/>
      <c r="H177" s="16"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row>
    <row r="178">
      <c r="A178" s="16" t="n">
        <v>173</v>
      </c>
      <c r="B178" s="16" t="n"/>
      <c r="C178" s="16" t="n"/>
      <c r="D178" s="16" t="n"/>
      <c r="E178" s="16" t="n"/>
      <c r="F178" s="16" t="n"/>
      <c r="G178" s="16" t="n"/>
      <c r="H178" s="16"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row>
    <row r="179">
      <c r="A179" s="16" t="n">
        <v>174</v>
      </c>
      <c r="B179" s="16" t="n"/>
      <c r="C179" s="16" t="n"/>
      <c r="D179" s="16" t="n"/>
      <c r="E179" s="16" t="n"/>
      <c r="F179" s="16" t="n"/>
      <c r="G179" s="16" t="n"/>
      <c r="H179" s="16"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row>
    <row r="180">
      <c r="A180" s="16" t="n">
        <v>175</v>
      </c>
      <c r="B180" s="16" t="n"/>
      <c r="C180" s="16" t="n"/>
      <c r="D180" s="16" t="n"/>
      <c r="E180" s="16" t="n"/>
      <c r="F180" s="16" t="n"/>
      <c r="G180" s="16" t="n"/>
      <c r="H180" s="16"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row>
    <row r="181">
      <c r="A181" s="16" t="n">
        <v>176</v>
      </c>
      <c r="B181" s="16" t="n"/>
      <c r="C181" s="16" t="n"/>
      <c r="D181" s="16" t="n"/>
      <c r="E181" s="16" t="n"/>
      <c r="F181" s="16" t="n"/>
      <c r="G181" s="16" t="n"/>
      <c r="H181" s="16"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row>
    <row r="182">
      <c r="A182" s="16" t="n">
        <v>177</v>
      </c>
      <c r="B182" s="16" t="n"/>
      <c r="C182" s="16" t="n"/>
      <c r="D182" s="16" t="n"/>
      <c r="E182" s="16" t="n"/>
      <c r="F182" s="16" t="n"/>
      <c r="G182" s="16" t="n"/>
      <c r="H182" s="16"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row>
    <row r="183">
      <c r="A183" s="16" t="n">
        <v>178</v>
      </c>
      <c r="B183" s="16" t="n"/>
      <c r="C183" s="16" t="n"/>
      <c r="D183" s="16" t="n"/>
      <c r="E183" s="16" t="n"/>
      <c r="F183" s="16" t="n"/>
      <c r="G183" s="16" t="n"/>
      <c r="H183" s="16"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row>
    <row r="184">
      <c r="A184" s="16" t="n">
        <v>179</v>
      </c>
      <c r="B184" s="16" t="n"/>
      <c r="C184" s="16" t="n"/>
      <c r="D184" s="16" t="n"/>
      <c r="E184" s="16" t="n"/>
      <c r="F184" s="16" t="n"/>
      <c r="G184" s="16" t="n"/>
      <c r="H184" s="16"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row>
    <row r="185">
      <c r="A185" s="16" t="n">
        <v>180</v>
      </c>
      <c r="B185" s="16" t="n"/>
      <c r="C185" s="16" t="n"/>
      <c r="D185" s="16" t="n"/>
      <c r="E185" s="16" t="n"/>
      <c r="F185" s="16" t="n"/>
      <c r="G185" s="16" t="n"/>
      <c r="H185" s="16"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row>
    <row r="186">
      <c r="A186" s="16" t="n">
        <v>181</v>
      </c>
      <c r="B186" s="16" t="n"/>
      <c r="C186" s="16" t="n"/>
      <c r="D186" s="16" t="n"/>
      <c r="E186" s="16" t="n"/>
      <c r="F186" s="16" t="n"/>
      <c r="G186" s="16" t="n"/>
      <c r="H186" s="16"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row>
    <row r="187">
      <c r="A187" s="16" t="n">
        <v>182</v>
      </c>
      <c r="B187" s="16" t="n"/>
      <c r="C187" s="16" t="n"/>
      <c r="D187" s="16" t="n"/>
      <c r="E187" s="16" t="n"/>
      <c r="F187" s="16" t="n"/>
      <c r="G187" s="16" t="n"/>
      <c r="H187" s="16"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row>
    <row r="188">
      <c r="A188" s="16" t="n">
        <v>183</v>
      </c>
      <c r="B188" s="16" t="n"/>
      <c r="C188" s="16" t="n"/>
      <c r="D188" s="16" t="n"/>
      <c r="E188" s="16" t="n"/>
      <c r="F188" s="16" t="n"/>
      <c r="G188" s="16" t="n"/>
      <c r="H188" s="16"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row>
    <row r="189">
      <c r="A189" s="16" t="n">
        <v>184</v>
      </c>
      <c r="B189" s="16" t="n"/>
      <c r="C189" s="16" t="n"/>
      <c r="D189" s="16" t="n"/>
      <c r="E189" s="16" t="n"/>
      <c r="F189" s="16" t="n"/>
      <c r="G189" s="16" t="n"/>
      <c r="H189" s="16"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row>
    <row r="190">
      <c r="A190" s="16" t="n">
        <v>185</v>
      </c>
      <c r="B190" s="16" t="n"/>
      <c r="C190" s="16" t="n"/>
      <c r="D190" s="16" t="n"/>
      <c r="E190" s="16" t="n"/>
      <c r="F190" s="16" t="n"/>
      <c r="G190" s="16" t="n"/>
      <c r="H190" s="16"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row>
    <row r="191">
      <c r="A191" s="16" t="n">
        <v>186</v>
      </c>
      <c r="B191" s="16" t="n"/>
      <c r="C191" s="16" t="n"/>
      <c r="D191" s="16" t="n"/>
      <c r="E191" s="16" t="n"/>
      <c r="F191" s="16" t="n"/>
      <c r="G191" s="16" t="n"/>
      <c r="H191" s="16"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row>
    <row r="192">
      <c r="A192" s="16" t="n">
        <v>187</v>
      </c>
      <c r="B192" s="16" t="n"/>
      <c r="C192" s="16" t="n"/>
      <c r="D192" s="16" t="n"/>
      <c r="E192" s="16" t="n"/>
      <c r="F192" s="16" t="n"/>
      <c r="G192" s="16" t="n"/>
      <c r="H192" s="16"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row>
    <row r="193">
      <c r="A193" s="16" t="n">
        <v>188</v>
      </c>
      <c r="B193" s="16" t="n"/>
      <c r="C193" s="16" t="n"/>
      <c r="D193" s="16" t="n"/>
      <c r="E193" s="16" t="n"/>
      <c r="F193" s="16" t="n"/>
      <c r="G193" s="16" t="n"/>
      <c r="H193" s="16"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row>
    <row r="194">
      <c r="A194" s="16" t="n">
        <v>189</v>
      </c>
      <c r="B194" s="16" t="n"/>
      <c r="C194" s="16" t="n"/>
      <c r="D194" s="16" t="n"/>
      <c r="E194" s="16" t="n"/>
      <c r="F194" s="16" t="n"/>
      <c r="G194" s="16" t="n"/>
      <c r="H194" s="16"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row>
    <row r="195">
      <c r="A195" s="16" t="n">
        <v>190</v>
      </c>
      <c r="B195" s="16" t="n"/>
      <c r="C195" s="16" t="n"/>
      <c r="D195" s="16" t="n"/>
      <c r="E195" s="16" t="n"/>
      <c r="F195" s="16" t="n"/>
      <c r="G195" s="16" t="n"/>
      <c r="H195" s="16"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row>
    <row r="196">
      <c r="A196" s="16" t="n">
        <v>191</v>
      </c>
      <c r="B196" s="16" t="n"/>
      <c r="C196" s="16" t="n"/>
      <c r="D196" s="16" t="n"/>
      <c r="E196" s="16" t="n"/>
      <c r="F196" s="16" t="n"/>
      <c r="G196" s="16" t="n"/>
      <c r="H196" s="16"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row>
    <row r="197">
      <c r="A197" s="16" t="n">
        <v>192</v>
      </c>
      <c r="B197" s="16" t="n"/>
      <c r="C197" s="16" t="n"/>
      <c r="D197" s="16" t="n"/>
      <c r="E197" s="16" t="n"/>
      <c r="F197" s="16" t="n"/>
      <c r="G197" s="16" t="n"/>
      <c r="H197" s="16"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row>
    <row r="198">
      <c r="A198" s="16" t="n">
        <v>193</v>
      </c>
      <c r="B198" s="16" t="n"/>
      <c r="C198" s="16" t="n"/>
      <c r="D198" s="16" t="n"/>
      <c r="E198" s="16" t="n"/>
      <c r="F198" s="16" t="n"/>
      <c r="G198" s="16" t="n"/>
      <c r="H198" s="16"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row>
    <row r="199">
      <c r="A199" s="16" t="n">
        <v>194</v>
      </c>
      <c r="B199" s="16" t="n"/>
      <c r="C199" s="16" t="n"/>
      <c r="D199" s="16" t="n"/>
      <c r="E199" s="16" t="n"/>
      <c r="F199" s="16" t="n"/>
      <c r="G199" s="16" t="n"/>
      <c r="H199" s="16"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row>
    <row r="200">
      <c r="A200" s="16" t="n">
        <v>195</v>
      </c>
      <c r="B200" s="16" t="n"/>
      <c r="C200" s="16" t="n"/>
      <c r="D200" s="16" t="n"/>
      <c r="E200" s="16" t="n"/>
      <c r="F200" s="16" t="n"/>
      <c r="G200" s="16" t="n"/>
      <c r="H200" s="16"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row>
    <row r="201">
      <c r="A201" s="16" t="n">
        <v>196</v>
      </c>
      <c r="B201" s="16" t="n"/>
      <c r="C201" s="16" t="n"/>
      <c r="D201" s="16" t="n"/>
      <c r="E201" s="16" t="n"/>
      <c r="F201" s="16" t="n"/>
      <c r="G201" s="16" t="n"/>
      <c r="H201" s="16"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row>
    <row r="202">
      <c r="A202" s="16" t="n">
        <v>197</v>
      </c>
      <c r="B202" s="16" t="n"/>
      <c r="C202" s="16" t="n"/>
      <c r="D202" s="16" t="n"/>
      <c r="E202" s="16" t="n"/>
      <c r="F202" s="16" t="n"/>
      <c r="G202" s="16" t="n"/>
      <c r="H202" s="16"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row>
    <row r="203">
      <c r="A203" s="16" t="n">
        <v>198</v>
      </c>
      <c r="B203" s="16" t="n"/>
      <c r="C203" s="16" t="n"/>
      <c r="D203" s="16" t="n"/>
      <c r="E203" s="16" t="n"/>
      <c r="F203" s="16" t="n"/>
      <c r="G203" s="16" t="n"/>
      <c r="H203" s="16"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row>
    <row r="204">
      <c r="A204" s="16" t="n">
        <v>199</v>
      </c>
      <c r="B204" s="16" t="n"/>
      <c r="C204" s="16" t="n"/>
      <c r="D204" s="16" t="n"/>
      <c r="E204" s="16" t="n"/>
      <c r="F204" s="16" t="n"/>
      <c r="G204" s="16" t="n"/>
      <c r="H204" s="16"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row>
    <row r="205">
      <c r="A205" s="16" t="n">
        <v>200</v>
      </c>
      <c r="B205" s="16" t="n"/>
      <c r="C205" s="16" t="n"/>
      <c r="D205" s="16" t="n"/>
      <c r="E205" s="16" t="n"/>
      <c r="F205" s="16" t="n"/>
      <c r="G205" s="16" t="n"/>
      <c r="H205" s="16"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row>
  </sheetData>
  <dataValidations count="1">
    <dataValidation sqref="I6:AB205" showDropDown="0" showInputMessage="0" showErrorMessage="1" allowBlank="1" errorTitle="Use 1 to 5" error="Enter the weight the respondent ticked: 5 Strongly Agree down to 1 Strongly Disagree."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5"/>
  <sheetViews>
    <sheetView showGridLines="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4" customWidth="1" min="2" max="2"/>
    <col width="7" customWidth="1" min="3" max="3"/>
    <col width="10" customWidth="1" min="4" max="4"/>
    <col width="6" customWidth="1" min="5" max="5"/>
    <col width="6" customWidth="1" min="6" max="6"/>
    <col width="6" customWidth="1" min="7" max="7"/>
    <col width="6" customWidth="1" min="8" max="8"/>
    <col width="6" customWidth="1" min="9" max="9"/>
    <col width="6" customWidth="1" min="10" max="10"/>
    <col width="6" customWidth="1" min="11" max="11"/>
  </cols>
  <sheetData>
    <row r="1">
      <c r="A1" s="10" t="inlineStr">
        <is>
          <t>Admin Responses</t>
        </is>
      </c>
    </row>
    <row r="2">
      <c r="A2" s="11" t="inlineStr">
        <is>
          <t>Part III, answered by the system administrator.</t>
        </is>
      </c>
    </row>
    <row r="3" ht="190" customHeight="1">
      <c r="E3" s="12" t="inlineStr">
        <is>
          <t>I can approve driver applications.</t>
        </is>
      </c>
      <c r="F3" s="12" t="inlineStr">
        <is>
          <t>I can monitor ride activities.</t>
        </is>
      </c>
      <c r="G3" s="12" t="inlineStr">
        <is>
          <t>I can manage user accounts.</t>
        </is>
      </c>
      <c r="H3" s="12" t="inlineStr">
        <is>
          <t>The dashboard is easy to use.</t>
        </is>
      </c>
      <c r="I3" s="12" t="inlineStr">
        <is>
          <t>Reports are easy to generate.</t>
        </is>
      </c>
      <c r="J3" s="12" t="inlineStr">
        <is>
          <t>Records are accurate.</t>
        </is>
      </c>
      <c r="K3" s="12" t="inlineStr">
        <is>
          <t>Data updates correctly.</t>
        </is>
      </c>
    </row>
    <row r="4" ht="30" customHeight="1">
      <c r="A4" s="13" t="inlineStr">
        <is>
          <t>Respondent No.</t>
        </is>
      </c>
      <c r="B4" s="13" t="inlineStr">
        <is>
          <t>Name (optional)</t>
        </is>
      </c>
      <c r="C4" s="13" t="inlineStr">
        <is>
          <t>Age</t>
        </is>
      </c>
      <c r="D4" s="13" t="inlineStr">
        <is>
          <t>Gender</t>
        </is>
      </c>
      <c r="E4" s="14" t="inlineStr">
        <is>
          <t>A1</t>
        </is>
      </c>
      <c r="F4" s="14" t="inlineStr">
        <is>
          <t>A2</t>
        </is>
      </c>
      <c r="G4" s="14" t="inlineStr">
        <is>
          <t>A3</t>
        </is>
      </c>
      <c r="H4" s="14" t="inlineStr">
        <is>
          <t>B1</t>
        </is>
      </c>
      <c r="I4" s="14" t="inlineStr">
        <is>
          <t>B2</t>
        </is>
      </c>
      <c r="J4" s="14" t="inlineStr">
        <is>
          <t>C1</t>
        </is>
      </c>
      <c r="K4" s="14" t="inlineStr">
        <is>
          <t>C2</t>
        </is>
      </c>
    </row>
    <row r="5">
      <c r="A5" s="15" t="inlineStr">
        <is>
          <t>EXAMPLE - delete</t>
        </is>
      </c>
      <c r="B5" s="15" t="inlineStr">
        <is>
          <t>Maria Reyes</t>
        </is>
      </c>
      <c r="C5" s="15" t="n">
        <v>33</v>
      </c>
      <c r="D5" s="15" t="inlineStr">
        <is>
          <t>Female</t>
        </is>
      </c>
      <c r="E5" s="15" t="n">
        <v>5</v>
      </c>
      <c r="F5" s="15" t="n">
        <v>4</v>
      </c>
      <c r="G5" s="15" t="n">
        <v>5</v>
      </c>
      <c r="H5" s="15" t="n">
        <v>4</v>
      </c>
      <c r="I5" s="15" t="n">
        <v>5</v>
      </c>
      <c r="J5" s="15" t="n">
        <v>5</v>
      </c>
      <c r="K5" s="15" t="n">
        <v>4</v>
      </c>
    </row>
    <row r="6">
      <c r="A6" s="16" t="n">
        <v>1</v>
      </c>
      <c r="B6" s="16" t="n"/>
      <c r="C6" s="16" t="n"/>
      <c r="D6" s="16" t="n"/>
      <c r="E6" s="17" t="n"/>
      <c r="F6" s="17" t="n"/>
      <c r="G6" s="17" t="n"/>
      <c r="H6" s="17" t="n"/>
      <c r="I6" s="17" t="n"/>
      <c r="J6" s="17" t="n"/>
      <c r="K6" s="17" t="n"/>
    </row>
    <row r="7">
      <c r="A7" s="16" t="n">
        <v>2</v>
      </c>
      <c r="B7" s="16" t="n"/>
      <c r="C7" s="16" t="n"/>
      <c r="D7" s="16" t="n"/>
      <c r="E7" s="17" t="n"/>
      <c r="F7" s="17" t="n"/>
      <c r="G7" s="17" t="n"/>
      <c r="H7" s="17" t="n"/>
      <c r="I7" s="17" t="n"/>
      <c r="J7" s="17" t="n"/>
      <c r="K7" s="17" t="n"/>
    </row>
    <row r="8">
      <c r="A8" s="16" t="n">
        <v>3</v>
      </c>
      <c r="B8" s="16" t="n"/>
      <c r="C8" s="16" t="n"/>
      <c r="D8" s="16" t="n"/>
      <c r="E8" s="17" t="n"/>
      <c r="F8" s="17" t="n"/>
      <c r="G8" s="17" t="n"/>
      <c r="H8" s="17" t="n"/>
      <c r="I8" s="17" t="n"/>
      <c r="J8" s="17" t="n"/>
      <c r="K8" s="17" t="n"/>
    </row>
    <row r="9">
      <c r="A9" s="16" t="n">
        <v>4</v>
      </c>
      <c r="B9" s="16" t="n"/>
      <c r="C9" s="16" t="n"/>
      <c r="D9" s="16" t="n"/>
      <c r="E9" s="17" t="n"/>
      <c r="F9" s="17" t="n"/>
      <c r="G9" s="17" t="n"/>
      <c r="H9" s="17" t="n"/>
      <c r="I9" s="17" t="n"/>
      <c r="J9" s="17" t="n"/>
      <c r="K9" s="17" t="n"/>
    </row>
    <row r="10">
      <c r="A10" s="16" t="n">
        <v>5</v>
      </c>
      <c r="B10" s="16" t="n"/>
      <c r="C10" s="16" t="n"/>
      <c r="D10" s="16" t="n"/>
      <c r="E10" s="17" t="n"/>
      <c r="F10" s="17" t="n"/>
      <c r="G10" s="17" t="n"/>
      <c r="H10" s="17" t="n"/>
      <c r="I10" s="17" t="n"/>
      <c r="J10" s="17" t="n"/>
      <c r="K10" s="17" t="n"/>
    </row>
    <row r="11">
      <c r="A11" s="16" t="n">
        <v>6</v>
      </c>
      <c r="B11" s="16" t="n"/>
      <c r="C11" s="16" t="n"/>
      <c r="D11" s="16" t="n"/>
      <c r="E11" s="17" t="n"/>
      <c r="F11" s="17" t="n"/>
      <c r="G11" s="17" t="n"/>
      <c r="H11" s="17" t="n"/>
      <c r="I11" s="17" t="n"/>
      <c r="J11" s="17" t="n"/>
      <c r="K11" s="17" t="n"/>
    </row>
    <row r="12">
      <c r="A12" s="16" t="n">
        <v>7</v>
      </c>
      <c r="B12" s="16" t="n"/>
      <c r="C12" s="16" t="n"/>
      <c r="D12" s="16" t="n"/>
      <c r="E12" s="17" t="n"/>
      <c r="F12" s="17" t="n"/>
      <c r="G12" s="17" t="n"/>
      <c r="H12" s="17" t="n"/>
      <c r="I12" s="17" t="n"/>
      <c r="J12" s="17" t="n"/>
      <c r="K12" s="17" t="n"/>
    </row>
    <row r="13">
      <c r="A13" s="16" t="n">
        <v>8</v>
      </c>
      <c r="B13" s="16" t="n"/>
      <c r="C13" s="16" t="n"/>
      <c r="D13" s="16" t="n"/>
      <c r="E13" s="17" t="n"/>
      <c r="F13" s="17" t="n"/>
      <c r="G13" s="17" t="n"/>
      <c r="H13" s="17" t="n"/>
      <c r="I13" s="17" t="n"/>
      <c r="J13" s="17" t="n"/>
      <c r="K13" s="17" t="n"/>
    </row>
    <row r="14">
      <c r="A14" s="16" t="n">
        <v>9</v>
      </c>
      <c r="B14" s="16" t="n"/>
      <c r="C14" s="16" t="n"/>
      <c r="D14" s="16" t="n"/>
      <c r="E14" s="17" t="n"/>
      <c r="F14" s="17" t="n"/>
      <c r="G14" s="17" t="n"/>
      <c r="H14" s="17" t="n"/>
      <c r="I14" s="17" t="n"/>
      <c r="J14" s="17" t="n"/>
      <c r="K14" s="17" t="n"/>
    </row>
    <row r="15">
      <c r="A15" s="16" t="n">
        <v>10</v>
      </c>
      <c r="B15" s="16" t="n"/>
      <c r="C15" s="16" t="n"/>
      <c r="D15" s="16" t="n"/>
      <c r="E15" s="17" t="n"/>
      <c r="F15" s="17" t="n"/>
      <c r="G15" s="17" t="n"/>
      <c r="H15" s="17" t="n"/>
      <c r="I15" s="17" t="n"/>
      <c r="J15" s="17" t="n"/>
      <c r="K15" s="17" t="n"/>
    </row>
    <row r="16">
      <c r="A16" s="16" t="n">
        <v>11</v>
      </c>
      <c r="B16" s="16" t="n"/>
      <c r="C16" s="16" t="n"/>
      <c r="D16" s="16" t="n"/>
      <c r="E16" s="17" t="n"/>
      <c r="F16" s="17" t="n"/>
      <c r="G16" s="17" t="n"/>
      <c r="H16" s="17" t="n"/>
      <c r="I16" s="17" t="n"/>
      <c r="J16" s="17" t="n"/>
      <c r="K16" s="17" t="n"/>
    </row>
    <row r="17">
      <c r="A17" s="16" t="n">
        <v>12</v>
      </c>
      <c r="B17" s="16" t="n"/>
      <c r="C17" s="16" t="n"/>
      <c r="D17" s="16" t="n"/>
      <c r="E17" s="17" t="n"/>
      <c r="F17" s="17" t="n"/>
      <c r="G17" s="17" t="n"/>
      <c r="H17" s="17" t="n"/>
      <c r="I17" s="17" t="n"/>
      <c r="J17" s="17" t="n"/>
      <c r="K17" s="17" t="n"/>
    </row>
    <row r="18">
      <c r="A18" s="16" t="n">
        <v>13</v>
      </c>
      <c r="B18" s="16" t="n"/>
      <c r="C18" s="16" t="n"/>
      <c r="D18" s="16" t="n"/>
      <c r="E18" s="17" t="n"/>
      <c r="F18" s="17" t="n"/>
      <c r="G18" s="17" t="n"/>
      <c r="H18" s="17" t="n"/>
      <c r="I18" s="17" t="n"/>
      <c r="J18" s="17" t="n"/>
      <c r="K18" s="17" t="n"/>
    </row>
    <row r="19">
      <c r="A19" s="16" t="n">
        <v>14</v>
      </c>
      <c r="B19" s="16" t="n"/>
      <c r="C19" s="16" t="n"/>
      <c r="D19" s="16" t="n"/>
      <c r="E19" s="17" t="n"/>
      <c r="F19" s="17" t="n"/>
      <c r="G19" s="17" t="n"/>
      <c r="H19" s="17" t="n"/>
      <c r="I19" s="17" t="n"/>
      <c r="J19" s="17" t="n"/>
      <c r="K19" s="17" t="n"/>
    </row>
    <row r="20">
      <c r="A20" s="16" t="n">
        <v>15</v>
      </c>
      <c r="B20" s="16" t="n"/>
      <c r="C20" s="16" t="n"/>
      <c r="D20" s="16" t="n"/>
      <c r="E20" s="17" t="n"/>
      <c r="F20" s="17" t="n"/>
      <c r="G20" s="17" t="n"/>
      <c r="H20" s="17" t="n"/>
      <c r="I20" s="17" t="n"/>
      <c r="J20" s="17" t="n"/>
      <c r="K20" s="17" t="n"/>
    </row>
    <row r="21">
      <c r="A21" s="16" t="n">
        <v>16</v>
      </c>
      <c r="B21" s="16" t="n"/>
      <c r="C21" s="16" t="n"/>
      <c r="D21" s="16" t="n"/>
      <c r="E21" s="17" t="n"/>
      <c r="F21" s="17" t="n"/>
      <c r="G21" s="17" t="n"/>
      <c r="H21" s="17" t="n"/>
      <c r="I21" s="17" t="n"/>
      <c r="J21" s="17" t="n"/>
      <c r="K21" s="17" t="n"/>
    </row>
    <row r="22">
      <c r="A22" s="16" t="n">
        <v>17</v>
      </c>
      <c r="B22" s="16" t="n"/>
      <c r="C22" s="16" t="n"/>
      <c r="D22" s="16" t="n"/>
      <c r="E22" s="17" t="n"/>
      <c r="F22" s="17" t="n"/>
      <c r="G22" s="17" t="n"/>
      <c r="H22" s="17" t="n"/>
      <c r="I22" s="17" t="n"/>
      <c r="J22" s="17" t="n"/>
      <c r="K22" s="17" t="n"/>
    </row>
    <row r="23">
      <c r="A23" s="16" t="n">
        <v>18</v>
      </c>
      <c r="B23" s="16" t="n"/>
      <c r="C23" s="16" t="n"/>
      <c r="D23" s="16" t="n"/>
      <c r="E23" s="17" t="n"/>
      <c r="F23" s="17" t="n"/>
      <c r="G23" s="17" t="n"/>
      <c r="H23" s="17" t="n"/>
      <c r="I23" s="17" t="n"/>
      <c r="J23" s="17" t="n"/>
      <c r="K23" s="17" t="n"/>
    </row>
    <row r="24">
      <c r="A24" s="16" t="n">
        <v>19</v>
      </c>
      <c r="B24" s="16" t="n"/>
      <c r="C24" s="16" t="n"/>
      <c r="D24" s="16" t="n"/>
      <c r="E24" s="17" t="n"/>
      <c r="F24" s="17" t="n"/>
      <c r="G24" s="17" t="n"/>
      <c r="H24" s="17" t="n"/>
      <c r="I24" s="17" t="n"/>
      <c r="J24" s="17" t="n"/>
      <c r="K24" s="17" t="n"/>
    </row>
    <row r="25">
      <c r="A25" s="16" t="n">
        <v>20</v>
      </c>
      <c r="B25" s="16" t="n"/>
      <c r="C25" s="16" t="n"/>
      <c r="D25" s="16" t="n"/>
      <c r="E25" s="17" t="n"/>
      <c r="F25" s="17" t="n"/>
      <c r="G25" s="17" t="n"/>
      <c r="H25" s="17" t="n"/>
      <c r="I25" s="17" t="n"/>
      <c r="J25" s="17" t="n"/>
      <c r="K25" s="17" t="n"/>
    </row>
    <row r="26">
      <c r="A26" s="16" t="n">
        <v>21</v>
      </c>
      <c r="B26" s="16" t="n"/>
      <c r="C26" s="16" t="n"/>
      <c r="D26" s="16" t="n"/>
      <c r="E26" s="17" t="n"/>
      <c r="F26" s="17" t="n"/>
      <c r="G26" s="17" t="n"/>
      <c r="H26" s="17" t="n"/>
      <c r="I26" s="17" t="n"/>
      <c r="J26" s="17" t="n"/>
      <c r="K26" s="17" t="n"/>
    </row>
    <row r="27">
      <c r="A27" s="16" t="n">
        <v>22</v>
      </c>
      <c r="B27" s="16" t="n"/>
      <c r="C27" s="16" t="n"/>
      <c r="D27" s="16" t="n"/>
      <c r="E27" s="17" t="n"/>
      <c r="F27" s="17" t="n"/>
      <c r="G27" s="17" t="n"/>
      <c r="H27" s="17" t="n"/>
      <c r="I27" s="17" t="n"/>
      <c r="J27" s="17" t="n"/>
      <c r="K27" s="17" t="n"/>
    </row>
    <row r="28">
      <c r="A28" s="16" t="n">
        <v>23</v>
      </c>
      <c r="B28" s="16" t="n"/>
      <c r="C28" s="16" t="n"/>
      <c r="D28" s="16" t="n"/>
      <c r="E28" s="17" t="n"/>
      <c r="F28" s="17" t="n"/>
      <c r="G28" s="17" t="n"/>
      <c r="H28" s="17" t="n"/>
      <c r="I28" s="17" t="n"/>
      <c r="J28" s="17" t="n"/>
      <c r="K28" s="17" t="n"/>
    </row>
    <row r="29">
      <c r="A29" s="16" t="n">
        <v>24</v>
      </c>
      <c r="B29" s="16" t="n"/>
      <c r="C29" s="16" t="n"/>
      <c r="D29" s="16" t="n"/>
      <c r="E29" s="17" t="n"/>
      <c r="F29" s="17" t="n"/>
      <c r="G29" s="17" t="n"/>
      <c r="H29" s="17" t="n"/>
      <c r="I29" s="17" t="n"/>
      <c r="J29" s="17" t="n"/>
      <c r="K29" s="17" t="n"/>
    </row>
    <row r="30">
      <c r="A30" s="16" t="n">
        <v>25</v>
      </c>
      <c r="B30" s="16" t="n"/>
      <c r="C30" s="16" t="n"/>
      <c r="D30" s="16" t="n"/>
      <c r="E30" s="17" t="n"/>
      <c r="F30" s="17" t="n"/>
      <c r="G30" s="17" t="n"/>
      <c r="H30" s="17" t="n"/>
      <c r="I30" s="17" t="n"/>
      <c r="J30" s="17" t="n"/>
      <c r="K30" s="17" t="n"/>
    </row>
    <row r="31">
      <c r="A31" s="16" t="n">
        <v>26</v>
      </c>
      <c r="B31" s="16" t="n"/>
      <c r="C31" s="16" t="n"/>
      <c r="D31" s="16" t="n"/>
      <c r="E31" s="17" t="n"/>
      <c r="F31" s="17" t="n"/>
      <c r="G31" s="17" t="n"/>
      <c r="H31" s="17" t="n"/>
      <c r="I31" s="17" t="n"/>
      <c r="J31" s="17" t="n"/>
      <c r="K31" s="17" t="n"/>
    </row>
    <row r="32">
      <c r="A32" s="16" t="n">
        <v>27</v>
      </c>
      <c r="B32" s="16" t="n"/>
      <c r="C32" s="16" t="n"/>
      <c r="D32" s="16" t="n"/>
      <c r="E32" s="17" t="n"/>
      <c r="F32" s="17" t="n"/>
      <c r="G32" s="17" t="n"/>
      <c r="H32" s="17" t="n"/>
      <c r="I32" s="17" t="n"/>
      <c r="J32" s="17" t="n"/>
      <c r="K32" s="17" t="n"/>
    </row>
    <row r="33">
      <c r="A33" s="16" t="n">
        <v>28</v>
      </c>
      <c r="B33" s="16" t="n"/>
      <c r="C33" s="16" t="n"/>
      <c r="D33" s="16" t="n"/>
      <c r="E33" s="17" t="n"/>
      <c r="F33" s="17" t="n"/>
      <c r="G33" s="17" t="n"/>
      <c r="H33" s="17" t="n"/>
      <c r="I33" s="17" t="n"/>
      <c r="J33" s="17" t="n"/>
      <c r="K33" s="17" t="n"/>
    </row>
    <row r="34">
      <c r="A34" s="16" t="n">
        <v>29</v>
      </c>
      <c r="B34" s="16" t="n"/>
      <c r="C34" s="16" t="n"/>
      <c r="D34" s="16" t="n"/>
      <c r="E34" s="17" t="n"/>
      <c r="F34" s="17" t="n"/>
      <c r="G34" s="17" t="n"/>
      <c r="H34" s="17" t="n"/>
      <c r="I34" s="17" t="n"/>
      <c r="J34" s="17" t="n"/>
      <c r="K34" s="17" t="n"/>
    </row>
    <row r="35">
      <c r="A35" s="16" t="n">
        <v>30</v>
      </c>
      <c r="B35" s="16" t="n"/>
      <c r="C35" s="16" t="n"/>
      <c r="D35" s="16" t="n"/>
      <c r="E35" s="17" t="n"/>
      <c r="F35" s="17" t="n"/>
      <c r="G35" s="17" t="n"/>
      <c r="H35" s="17" t="n"/>
      <c r="I35" s="17" t="n"/>
      <c r="J35" s="17" t="n"/>
      <c r="K35" s="17" t="n"/>
    </row>
    <row r="36">
      <c r="A36" s="16" t="n">
        <v>31</v>
      </c>
      <c r="B36" s="16" t="n"/>
      <c r="C36" s="16" t="n"/>
      <c r="D36" s="16" t="n"/>
      <c r="E36" s="17" t="n"/>
      <c r="F36" s="17" t="n"/>
      <c r="G36" s="17" t="n"/>
      <c r="H36" s="17" t="n"/>
      <c r="I36" s="17" t="n"/>
      <c r="J36" s="17" t="n"/>
      <c r="K36" s="17" t="n"/>
    </row>
    <row r="37">
      <c r="A37" s="16" t="n">
        <v>32</v>
      </c>
      <c r="B37" s="16" t="n"/>
      <c r="C37" s="16" t="n"/>
      <c r="D37" s="16" t="n"/>
      <c r="E37" s="17" t="n"/>
      <c r="F37" s="17" t="n"/>
      <c r="G37" s="17" t="n"/>
      <c r="H37" s="17" t="n"/>
      <c r="I37" s="17" t="n"/>
      <c r="J37" s="17" t="n"/>
      <c r="K37" s="17" t="n"/>
    </row>
    <row r="38">
      <c r="A38" s="16" t="n">
        <v>33</v>
      </c>
      <c r="B38" s="16" t="n"/>
      <c r="C38" s="16" t="n"/>
      <c r="D38" s="16" t="n"/>
      <c r="E38" s="17" t="n"/>
      <c r="F38" s="17" t="n"/>
      <c r="G38" s="17" t="n"/>
      <c r="H38" s="17" t="n"/>
      <c r="I38" s="17" t="n"/>
      <c r="J38" s="17" t="n"/>
      <c r="K38" s="17" t="n"/>
    </row>
    <row r="39">
      <c r="A39" s="16" t="n">
        <v>34</v>
      </c>
      <c r="B39" s="16" t="n"/>
      <c r="C39" s="16" t="n"/>
      <c r="D39" s="16" t="n"/>
      <c r="E39" s="17" t="n"/>
      <c r="F39" s="17" t="n"/>
      <c r="G39" s="17" t="n"/>
      <c r="H39" s="17" t="n"/>
      <c r="I39" s="17" t="n"/>
      <c r="J39" s="17" t="n"/>
      <c r="K39" s="17" t="n"/>
    </row>
    <row r="40">
      <c r="A40" s="16" t="n">
        <v>35</v>
      </c>
      <c r="B40" s="16" t="n"/>
      <c r="C40" s="16" t="n"/>
      <c r="D40" s="16" t="n"/>
      <c r="E40" s="17" t="n"/>
      <c r="F40" s="17" t="n"/>
      <c r="G40" s="17" t="n"/>
      <c r="H40" s="17" t="n"/>
      <c r="I40" s="17" t="n"/>
      <c r="J40" s="17" t="n"/>
      <c r="K40" s="17" t="n"/>
    </row>
    <row r="41">
      <c r="A41" s="16" t="n">
        <v>36</v>
      </c>
      <c r="B41" s="16" t="n"/>
      <c r="C41" s="16" t="n"/>
      <c r="D41" s="16" t="n"/>
      <c r="E41" s="17" t="n"/>
      <c r="F41" s="17" t="n"/>
      <c r="G41" s="17" t="n"/>
      <c r="H41" s="17" t="n"/>
      <c r="I41" s="17" t="n"/>
      <c r="J41" s="17" t="n"/>
      <c r="K41" s="17" t="n"/>
    </row>
    <row r="42">
      <c r="A42" s="16" t="n">
        <v>37</v>
      </c>
      <c r="B42" s="16" t="n"/>
      <c r="C42" s="16" t="n"/>
      <c r="D42" s="16" t="n"/>
      <c r="E42" s="17" t="n"/>
      <c r="F42" s="17" t="n"/>
      <c r="G42" s="17" t="n"/>
      <c r="H42" s="17" t="n"/>
      <c r="I42" s="17" t="n"/>
      <c r="J42" s="17" t="n"/>
      <c r="K42" s="17" t="n"/>
    </row>
    <row r="43">
      <c r="A43" s="16" t="n">
        <v>38</v>
      </c>
      <c r="B43" s="16" t="n"/>
      <c r="C43" s="16" t="n"/>
      <c r="D43" s="16" t="n"/>
      <c r="E43" s="17" t="n"/>
      <c r="F43" s="17" t="n"/>
      <c r="G43" s="17" t="n"/>
      <c r="H43" s="17" t="n"/>
      <c r="I43" s="17" t="n"/>
      <c r="J43" s="17" t="n"/>
      <c r="K43" s="17" t="n"/>
    </row>
    <row r="44">
      <c r="A44" s="16" t="n">
        <v>39</v>
      </c>
      <c r="B44" s="16" t="n"/>
      <c r="C44" s="16" t="n"/>
      <c r="D44" s="16" t="n"/>
      <c r="E44" s="17" t="n"/>
      <c r="F44" s="17" t="n"/>
      <c r="G44" s="17" t="n"/>
      <c r="H44" s="17" t="n"/>
      <c r="I44" s="17" t="n"/>
      <c r="J44" s="17" t="n"/>
      <c r="K44" s="17" t="n"/>
    </row>
    <row r="45">
      <c r="A45" s="16" t="n">
        <v>40</v>
      </c>
      <c r="B45" s="16" t="n"/>
      <c r="C45" s="16" t="n"/>
      <c r="D45" s="16" t="n"/>
      <c r="E45" s="17" t="n"/>
      <c r="F45" s="17" t="n"/>
      <c r="G45" s="17" t="n"/>
      <c r="H45" s="17" t="n"/>
      <c r="I45" s="17" t="n"/>
      <c r="J45" s="17" t="n"/>
      <c r="K45" s="17" t="n"/>
    </row>
    <row r="46">
      <c r="A46" s="16" t="n">
        <v>41</v>
      </c>
      <c r="B46" s="16" t="n"/>
      <c r="C46" s="16" t="n"/>
      <c r="D46" s="16" t="n"/>
      <c r="E46" s="17" t="n"/>
      <c r="F46" s="17" t="n"/>
      <c r="G46" s="17" t="n"/>
      <c r="H46" s="17" t="n"/>
      <c r="I46" s="17" t="n"/>
      <c r="J46" s="17" t="n"/>
      <c r="K46" s="17" t="n"/>
    </row>
    <row r="47">
      <c r="A47" s="16" t="n">
        <v>42</v>
      </c>
      <c r="B47" s="16" t="n"/>
      <c r="C47" s="16" t="n"/>
      <c r="D47" s="16" t="n"/>
      <c r="E47" s="17" t="n"/>
      <c r="F47" s="17" t="n"/>
      <c r="G47" s="17" t="n"/>
      <c r="H47" s="17" t="n"/>
      <c r="I47" s="17" t="n"/>
      <c r="J47" s="17" t="n"/>
      <c r="K47" s="17" t="n"/>
    </row>
    <row r="48">
      <c r="A48" s="16" t="n">
        <v>43</v>
      </c>
      <c r="B48" s="16" t="n"/>
      <c r="C48" s="16" t="n"/>
      <c r="D48" s="16" t="n"/>
      <c r="E48" s="17" t="n"/>
      <c r="F48" s="17" t="n"/>
      <c r="G48" s="17" t="n"/>
      <c r="H48" s="17" t="n"/>
      <c r="I48" s="17" t="n"/>
      <c r="J48" s="17" t="n"/>
      <c r="K48" s="17" t="n"/>
    </row>
    <row r="49">
      <c r="A49" s="16" t="n">
        <v>44</v>
      </c>
      <c r="B49" s="16" t="n"/>
      <c r="C49" s="16" t="n"/>
      <c r="D49" s="16" t="n"/>
      <c r="E49" s="17" t="n"/>
      <c r="F49" s="17" t="n"/>
      <c r="G49" s="17" t="n"/>
      <c r="H49" s="17" t="n"/>
      <c r="I49" s="17" t="n"/>
      <c r="J49" s="17" t="n"/>
      <c r="K49" s="17" t="n"/>
    </row>
    <row r="50">
      <c r="A50" s="16" t="n">
        <v>45</v>
      </c>
      <c r="B50" s="16" t="n"/>
      <c r="C50" s="16" t="n"/>
      <c r="D50" s="16" t="n"/>
      <c r="E50" s="17" t="n"/>
      <c r="F50" s="17" t="n"/>
      <c r="G50" s="17" t="n"/>
      <c r="H50" s="17" t="n"/>
      <c r="I50" s="17" t="n"/>
      <c r="J50" s="17" t="n"/>
      <c r="K50" s="17" t="n"/>
    </row>
    <row r="51">
      <c r="A51" s="16" t="n">
        <v>46</v>
      </c>
      <c r="B51" s="16" t="n"/>
      <c r="C51" s="16" t="n"/>
      <c r="D51" s="16" t="n"/>
      <c r="E51" s="17" t="n"/>
      <c r="F51" s="17" t="n"/>
      <c r="G51" s="17" t="n"/>
      <c r="H51" s="17" t="n"/>
      <c r="I51" s="17" t="n"/>
      <c r="J51" s="17" t="n"/>
      <c r="K51" s="17" t="n"/>
    </row>
    <row r="52">
      <c r="A52" s="16" t="n">
        <v>47</v>
      </c>
      <c r="B52" s="16" t="n"/>
      <c r="C52" s="16" t="n"/>
      <c r="D52" s="16" t="n"/>
      <c r="E52" s="17" t="n"/>
      <c r="F52" s="17" t="n"/>
      <c r="G52" s="17" t="n"/>
      <c r="H52" s="17" t="n"/>
      <c r="I52" s="17" t="n"/>
      <c r="J52" s="17" t="n"/>
      <c r="K52" s="17" t="n"/>
    </row>
    <row r="53">
      <c r="A53" s="16" t="n">
        <v>48</v>
      </c>
      <c r="B53" s="16" t="n"/>
      <c r="C53" s="16" t="n"/>
      <c r="D53" s="16" t="n"/>
      <c r="E53" s="17" t="n"/>
      <c r="F53" s="17" t="n"/>
      <c r="G53" s="17" t="n"/>
      <c r="H53" s="17" t="n"/>
      <c r="I53" s="17" t="n"/>
      <c r="J53" s="17" t="n"/>
      <c r="K53" s="17" t="n"/>
    </row>
    <row r="54">
      <c r="A54" s="16" t="n">
        <v>49</v>
      </c>
      <c r="B54" s="16" t="n"/>
      <c r="C54" s="16" t="n"/>
      <c r="D54" s="16" t="n"/>
      <c r="E54" s="17" t="n"/>
      <c r="F54" s="17" t="n"/>
      <c r="G54" s="17" t="n"/>
      <c r="H54" s="17" t="n"/>
      <c r="I54" s="17" t="n"/>
      <c r="J54" s="17" t="n"/>
      <c r="K54" s="17" t="n"/>
    </row>
    <row r="55">
      <c r="A55" s="16" t="n">
        <v>50</v>
      </c>
      <c r="B55" s="16" t="n"/>
      <c r="C55" s="16" t="n"/>
      <c r="D55" s="16" t="n"/>
      <c r="E55" s="17" t="n"/>
      <c r="F55" s="17" t="n"/>
      <c r="G55" s="17" t="n"/>
      <c r="H55" s="17" t="n"/>
      <c r="I55" s="17" t="n"/>
      <c r="J55" s="17" t="n"/>
      <c r="K55" s="17" t="n"/>
    </row>
    <row r="56">
      <c r="A56" s="16" t="n">
        <v>51</v>
      </c>
      <c r="B56" s="16" t="n"/>
      <c r="C56" s="16" t="n"/>
      <c r="D56" s="16" t="n"/>
      <c r="E56" s="17" t="n"/>
      <c r="F56" s="17" t="n"/>
      <c r="G56" s="17" t="n"/>
      <c r="H56" s="17" t="n"/>
      <c r="I56" s="17" t="n"/>
      <c r="J56" s="17" t="n"/>
      <c r="K56" s="17" t="n"/>
    </row>
    <row r="57">
      <c r="A57" s="16" t="n">
        <v>52</v>
      </c>
      <c r="B57" s="16" t="n"/>
      <c r="C57" s="16" t="n"/>
      <c r="D57" s="16" t="n"/>
      <c r="E57" s="17" t="n"/>
      <c r="F57" s="17" t="n"/>
      <c r="G57" s="17" t="n"/>
      <c r="H57" s="17" t="n"/>
      <c r="I57" s="17" t="n"/>
      <c r="J57" s="17" t="n"/>
      <c r="K57" s="17" t="n"/>
    </row>
    <row r="58">
      <c r="A58" s="16" t="n">
        <v>53</v>
      </c>
      <c r="B58" s="16" t="n"/>
      <c r="C58" s="16" t="n"/>
      <c r="D58" s="16" t="n"/>
      <c r="E58" s="17" t="n"/>
      <c r="F58" s="17" t="n"/>
      <c r="G58" s="17" t="n"/>
      <c r="H58" s="17" t="n"/>
      <c r="I58" s="17" t="n"/>
      <c r="J58" s="17" t="n"/>
      <c r="K58" s="17" t="n"/>
    </row>
    <row r="59">
      <c r="A59" s="16" t="n">
        <v>54</v>
      </c>
      <c r="B59" s="16" t="n"/>
      <c r="C59" s="16" t="n"/>
      <c r="D59" s="16" t="n"/>
      <c r="E59" s="17" t="n"/>
      <c r="F59" s="17" t="n"/>
      <c r="G59" s="17" t="n"/>
      <c r="H59" s="17" t="n"/>
      <c r="I59" s="17" t="n"/>
      <c r="J59" s="17" t="n"/>
      <c r="K59" s="17" t="n"/>
    </row>
    <row r="60">
      <c r="A60" s="16" t="n">
        <v>55</v>
      </c>
      <c r="B60" s="16" t="n"/>
      <c r="C60" s="16" t="n"/>
      <c r="D60" s="16" t="n"/>
      <c r="E60" s="17" t="n"/>
      <c r="F60" s="17" t="n"/>
      <c r="G60" s="17" t="n"/>
      <c r="H60" s="17" t="n"/>
      <c r="I60" s="17" t="n"/>
      <c r="J60" s="17" t="n"/>
      <c r="K60" s="17" t="n"/>
    </row>
    <row r="61">
      <c r="A61" s="16" t="n">
        <v>56</v>
      </c>
      <c r="B61" s="16" t="n"/>
      <c r="C61" s="16" t="n"/>
      <c r="D61" s="16" t="n"/>
      <c r="E61" s="17" t="n"/>
      <c r="F61" s="17" t="n"/>
      <c r="G61" s="17" t="n"/>
      <c r="H61" s="17" t="n"/>
      <c r="I61" s="17" t="n"/>
      <c r="J61" s="17" t="n"/>
      <c r="K61" s="17" t="n"/>
    </row>
    <row r="62">
      <c r="A62" s="16" t="n">
        <v>57</v>
      </c>
      <c r="B62" s="16" t="n"/>
      <c r="C62" s="16" t="n"/>
      <c r="D62" s="16" t="n"/>
      <c r="E62" s="17" t="n"/>
      <c r="F62" s="17" t="n"/>
      <c r="G62" s="17" t="n"/>
      <c r="H62" s="17" t="n"/>
      <c r="I62" s="17" t="n"/>
      <c r="J62" s="17" t="n"/>
      <c r="K62" s="17" t="n"/>
    </row>
    <row r="63">
      <c r="A63" s="16" t="n">
        <v>58</v>
      </c>
      <c r="B63" s="16" t="n"/>
      <c r="C63" s="16" t="n"/>
      <c r="D63" s="16" t="n"/>
      <c r="E63" s="17" t="n"/>
      <c r="F63" s="17" t="n"/>
      <c r="G63" s="17" t="n"/>
      <c r="H63" s="17" t="n"/>
      <c r="I63" s="17" t="n"/>
      <c r="J63" s="17" t="n"/>
      <c r="K63" s="17" t="n"/>
    </row>
    <row r="64">
      <c r="A64" s="16" t="n">
        <v>59</v>
      </c>
      <c r="B64" s="16" t="n"/>
      <c r="C64" s="16" t="n"/>
      <c r="D64" s="16" t="n"/>
      <c r="E64" s="17" t="n"/>
      <c r="F64" s="17" t="n"/>
      <c r="G64" s="17" t="n"/>
      <c r="H64" s="17" t="n"/>
      <c r="I64" s="17" t="n"/>
      <c r="J64" s="17" t="n"/>
      <c r="K64" s="17" t="n"/>
    </row>
    <row r="65">
      <c r="A65" s="16" t="n">
        <v>60</v>
      </c>
      <c r="B65" s="16" t="n"/>
      <c r="C65" s="16" t="n"/>
      <c r="D65" s="16" t="n"/>
      <c r="E65" s="17" t="n"/>
      <c r="F65" s="17" t="n"/>
      <c r="G65" s="17" t="n"/>
      <c r="H65" s="17" t="n"/>
      <c r="I65" s="17" t="n"/>
      <c r="J65" s="17" t="n"/>
      <c r="K65" s="17" t="n"/>
    </row>
    <row r="66">
      <c r="A66" s="16" t="n">
        <v>61</v>
      </c>
      <c r="B66" s="16" t="n"/>
      <c r="C66" s="16" t="n"/>
      <c r="D66" s="16" t="n"/>
      <c r="E66" s="17" t="n"/>
      <c r="F66" s="17" t="n"/>
      <c r="G66" s="17" t="n"/>
      <c r="H66" s="17" t="n"/>
      <c r="I66" s="17" t="n"/>
      <c r="J66" s="17" t="n"/>
      <c r="K66" s="17" t="n"/>
    </row>
    <row r="67">
      <c r="A67" s="16" t="n">
        <v>62</v>
      </c>
      <c r="B67" s="16" t="n"/>
      <c r="C67" s="16" t="n"/>
      <c r="D67" s="16" t="n"/>
      <c r="E67" s="17" t="n"/>
      <c r="F67" s="17" t="n"/>
      <c r="G67" s="17" t="n"/>
      <c r="H67" s="17" t="n"/>
      <c r="I67" s="17" t="n"/>
      <c r="J67" s="17" t="n"/>
      <c r="K67" s="17" t="n"/>
    </row>
    <row r="68">
      <c r="A68" s="16" t="n">
        <v>63</v>
      </c>
      <c r="B68" s="16" t="n"/>
      <c r="C68" s="16" t="n"/>
      <c r="D68" s="16" t="n"/>
      <c r="E68" s="17" t="n"/>
      <c r="F68" s="17" t="n"/>
      <c r="G68" s="17" t="n"/>
      <c r="H68" s="17" t="n"/>
      <c r="I68" s="17" t="n"/>
      <c r="J68" s="17" t="n"/>
      <c r="K68" s="17" t="n"/>
    </row>
    <row r="69">
      <c r="A69" s="16" t="n">
        <v>64</v>
      </c>
      <c r="B69" s="16" t="n"/>
      <c r="C69" s="16" t="n"/>
      <c r="D69" s="16" t="n"/>
      <c r="E69" s="17" t="n"/>
      <c r="F69" s="17" t="n"/>
      <c r="G69" s="17" t="n"/>
      <c r="H69" s="17" t="n"/>
      <c r="I69" s="17" t="n"/>
      <c r="J69" s="17" t="n"/>
      <c r="K69" s="17" t="n"/>
    </row>
    <row r="70">
      <c r="A70" s="16" t="n">
        <v>65</v>
      </c>
      <c r="B70" s="16" t="n"/>
      <c r="C70" s="16" t="n"/>
      <c r="D70" s="16" t="n"/>
      <c r="E70" s="17" t="n"/>
      <c r="F70" s="17" t="n"/>
      <c r="G70" s="17" t="n"/>
      <c r="H70" s="17" t="n"/>
      <c r="I70" s="17" t="n"/>
      <c r="J70" s="17" t="n"/>
      <c r="K70" s="17" t="n"/>
    </row>
    <row r="71">
      <c r="A71" s="16" t="n">
        <v>66</v>
      </c>
      <c r="B71" s="16" t="n"/>
      <c r="C71" s="16" t="n"/>
      <c r="D71" s="16" t="n"/>
      <c r="E71" s="17" t="n"/>
      <c r="F71" s="17" t="n"/>
      <c r="G71" s="17" t="n"/>
      <c r="H71" s="17" t="n"/>
      <c r="I71" s="17" t="n"/>
      <c r="J71" s="17" t="n"/>
      <c r="K71" s="17" t="n"/>
    </row>
    <row r="72">
      <c r="A72" s="16" t="n">
        <v>67</v>
      </c>
      <c r="B72" s="16" t="n"/>
      <c r="C72" s="16" t="n"/>
      <c r="D72" s="16" t="n"/>
      <c r="E72" s="17" t="n"/>
      <c r="F72" s="17" t="n"/>
      <c r="G72" s="17" t="n"/>
      <c r="H72" s="17" t="n"/>
      <c r="I72" s="17" t="n"/>
      <c r="J72" s="17" t="n"/>
      <c r="K72" s="17" t="n"/>
    </row>
    <row r="73">
      <c r="A73" s="16" t="n">
        <v>68</v>
      </c>
      <c r="B73" s="16" t="n"/>
      <c r="C73" s="16" t="n"/>
      <c r="D73" s="16" t="n"/>
      <c r="E73" s="17" t="n"/>
      <c r="F73" s="17" t="n"/>
      <c r="G73" s="17" t="n"/>
      <c r="H73" s="17" t="n"/>
      <c r="I73" s="17" t="n"/>
      <c r="J73" s="17" t="n"/>
      <c r="K73" s="17" t="n"/>
    </row>
    <row r="74">
      <c r="A74" s="16" t="n">
        <v>69</v>
      </c>
      <c r="B74" s="16" t="n"/>
      <c r="C74" s="16" t="n"/>
      <c r="D74" s="16" t="n"/>
      <c r="E74" s="17" t="n"/>
      <c r="F74" s="17" t="n"/>
      <c r="G74" s="17" t="n"/>
      <c r="H74" s="17" t="n"/>
      <c r="I74" s="17" t="n"/>
      <c r="J74" s="17" t="n"/>
      <c r="K74" s="17" t="n"/>
    </row>
    <row r="75">
      <c r="A75" s="16" t="n">
        <v>70</v>
      </c>
      <c r="B75" s="16" t="n"/>
      <c r="C75" s="16" t="n"/>
      <c r="D75" s="16" t="n"/>
      <c r="E75" s="17" t="n"/>
      <c r="F75" s="17" t="n"/>
      <c r="G75" s="17" t="n"/>
      <c r="H75" s="17" t="n"/>
      <c r="I75" s="17" t="n"/>
      <c r="J75" s="17" t="n"/>
      <c r="K75" s="17" t="n"/>
    </row>
    <row r="76">
      <c r="A76" s="16" t="n">
        <v>71</v>
      </c>
      <c r="B76" s="16" t="n"/>
      <c r="C76" s="16" t="n"/>
      <c r="D76" s="16" t="n"/>
      <c r="E76" s="17" t="n"/>
      <c r="F76" s="17" t="n"/>
      <c r="G76" s="17" t="n"/>
      <c r="H76" s="17" t="n"/>
      <c r="I76" s="17" t="n"/>
      <c r="J76" s="17" t="n"/>
      <c r="K76" s="17" t="n"/>
    </row>
    <row r="77">
      <c r="A77" s="16" t="n">
        <v>72</v>
      </c>
      <c r="B77" s="16" t="n"/>
      <c r="C77" s="16" t="n"/>
      <c r="D77" s="16" t="n"/>
      <c r="E77" s="17" t="n"/>
      <c r="F77" s="17" t="n"/>
      <c r="G77" s="17" t="n"/>
      <c r="H77" s="17" t="n"/>
      <c r="I77" s="17" t="n"/>
      <c r="J77" s="17" t="n"/>
      <c r="K77" s="17" t="n"/>
    </row>
    <row r="78">
      <c r="A78" s="16" t="n">
        <v>73</v>
      </c>
      <c r="B78" s="16" t="n"/>
      <c r="C78" s="16" t="n"/>
      <c r="D78" s="16" t="n"/>
      <c r="E78" s="17" t="n"/>
      <c r="F78" s="17" t="n"/>
      <c r="G78" s="17" t="n"/>
      <c r="H78" s="17" t="n"/>
      <c r="I78" s="17" t="n"/>
      <c r="J78" s="17" t="n"/>
      <c r="K78" s="17" t="n"/>
    </row>
    <row r="79">
      <c r="A79" s="16" t="n">
        <v>74</v>
      </c>
      <c r="B79" s="16" t="n"/>
      <c r="C79" s="16" t="n"/>
      <c r="D79" s="16" t="n"/>
      <c r="E79" s="17" t="n"/>
      <c r="F79" s="17" t="n"/>
      <c r="G79" s="17" t="n"/>
      <c r="H79" s="17" t="n"/>
      <c r="I79" s="17" t="n"/>
      <c r="J79" s="17" t="n"/>
      <c r="K79" s="17" t="n"/>
    </row>
    <row r="80">
      <c r="A80" s="16" t="n">
        <v>75</v>
      </c>
      <c r="B80" s="16" t="n"/>
      <c r="C80" s="16" t="n"/>
      <c r="D80" s="16" t="n"/>
      <c r="E80" s="17" t="n"/>
      <c r="F80" s="17" t="n"/>
      <c r="G80" s="17" t="n"/>
      <c r="H80" s="17" t="n"/>
      <c r="I80" s="17" t="n"/>
      <c r="J80" s="17" t="n"/>
      <c r="K80" s="17" t="n"/>
    </row>
    <row r="81">
      <c r="A81" s="16" t="n">
        <v>76</v>
      </c>
      <c r="B81" s="16" t="n"/>
      <c r="C81" s="16" t="n"/>
      <c r="D81" s="16" t="n"/>
      <c r="E81" s="17" t="n"/>
      <c r="F81" s="17" t="n"/>
      <c r="G81" s="17" t="n"/>
      <c r="H81" s="17" t="n"/>
      <c r="I81" s="17" t="n"/>
      <c r="J81" s="17" t="n"/>
      <c r="K81" s="17" t="n"/>
    </row>
    <row r="82">
      <c r="A82" s="16" t="n">
        <v>77</v>
      </c>
      <c r="B82" s="16" t="n"/>
      <c r="C82" s="16" t="n"/>
      <c r="D82" s="16" t="n"/>
      <c r="E82" s="17" t="n"/>
      <c r="F82" s="17" t="n"/>
      <c r="G82" s="17" t="n"/>
      <c r="H82" s="17" t="n"/>
      <c r="I82" s="17" t="n"/>
      <c r="J82" s="17" t="n"/>
      <c r="K82" s="17" t="n"/>
    </row>
    <row r="83">
      <c r="A83" s="16" t="n">
        <v>78</v>
      </c>
      <c r="B83" s="16" t="n"/>
      <c r="C83" s="16" t="n"/>
      <c r="D83" s="16" t="n"/>
      <c r="E83" s="17" t="n"/>
      <c r="F83" s="17" t="n"/>
      <c r="G83" s="17" t="n"/>
      <c r="H83" s="17" t="n"/>
      <c r="I83" s="17" t="n"/>
      <c r="J83" s="17" t="n"/>
      <c r="K83" s="17" t="n"/>
    </row>
    <row r="84">
      <c r="A84" s="16" t="n">
        <v>79</v>
      </c>
      <c r="B84" s="16" t="n"/>
      <c r="C84" s="16" t="n"/>
      <c r="D84" s="16" t="n"/>
      <c r="E84" s="17" t="n"/>
      <c r="F84" s="17" t="n"/>
      <c r="G84" s="17" t="n"/>
      <c r="H84" s="17" t="n"/>
      <c r="I84" s="17" t="n"/>
      <c r="J84" s="17" t="n"/>
      <c r="K84" s="17" t="n"/>
    </row>
    <row r="85">
      <c r="A85" s="16" t="n">
        <v>80</v>
      </c>
      <c r="B85" s="16" t="n"/>
      <c r="C85" s="16" t="n"/>
      <c r="D85" s="16" t="n"/>
      <c r="E85" s="17" t="n"/>
      <c r="F85" s="17" t="n"/>
      <c r="G85" s="17" t="n"/>
      <c r="H85" s="17" t="n"/>
      <c r="I85" s="17" t="n"/>
      <c r="J85" s="17" t="n"/>
      <c r="K85" s="17" t="n"/>
    </row>
    <row r="86">
      <c r="A86" s="16" t="n">
        <v>81</v>
      </c>
      <c r="B86" s="16" t="n"/>
      <c r="C86" s="16" t="n"/>
      <c r="D86" s="16" t="n"/>
      <c r="E86" s="17" t="n"/>
      <c r="F86" s="17" t="n"/>
      <c r="G86" s="17" t="n"/>
      <c r="H86" s="17" t="n"/>
      <c r="I86" s="17" t="n"/>
      <c r="J86" s="17" t="n"/>
      <c r="K86" s="17" t="n"/>
    </row>
    <row r="87">
      <c r="A87" s="16" t="n">
        <v>82</v>
      </c>
      <c r="B87" s="16" t="n"/>
      <c r="C87" s="16" t="n"/>
      <c r="D87" s="16" t="n"/>
      <c r="E87" s="17" t="n"/>
      <c r="F87" s="17" t="n"/>
      <c r="G87" s="17" t="n"/>
      <c r="H87" s="17" t="n"/>
      <c r="I87" s="17" t="n"/>
      <c r="J87" s="17" t="n"/>
      <c r="K87" s="17" t="n"/>
    </row>
    <row r="88">
      <c r="A88" s="16" t="n">
        <v>83</v>
      </c>
      <c r="B88" s="16" t="n"/>
      <c r="C88" s="16" t="n"/>
      <c r="D88" s="16" t="n"/>
      <c r="E88" s="17" t="n"/>
      <c r="F88" s="17" t="n"/>
      <c r="G88" s="17" t="n"/>
      <c r="H88" s="17" t="n"/>
      <c r="I88" s="17" t="n"/>
      <c r="J88" s="17" t="n"/>
      <c r="K88" s="17" t="n"/>
    </row>
    <row r="89">
      <c r="A89" s="16" t="n">
        <v>84</v>
      </c>
      <c r="B89" s="16" t="n"/>
      <c r="C89" s="16" t="n"/>
      <c r="D89" s="16" t="n"/>
      <c r="E89" s="17" t="n"/>
      <c r="F89" s="17" t="n"/>
      <c r="G89" s="17" t="n"/>
      <c r="H89" s="17" t="n"/>
      <c r="I89" s="17" t="n"/>
      <c r="J89" s="17" t="n"/>
      <c r="K89" s="17" t="n"/>
    </row>
    <row r="90">
      <c r="A90" s="16" t="n">
        <v>85</v>
      </c>
      <c r="B90" s="16" t="n"/>
      <c r="C90" s="16" t="n"/>
      <c r="D90" s="16" t="n"/>
      <c r="E90" s="17" t="n"/>
      <c r="F90" s="17" t="n"/>
      <c r="G90" s="17" t="n"/>
      <c r="H90" s="17" t="n"/>
      <c r="I90" s="17" t="n"/>
      <c r="J90" s="17" t="n"/>
      <c r="K90" s="17" t="n"/>
    </row>
    <row r="91">
      <c r="A91" s="16" t="n">
        <v>86</v>
      </c>
      <c r="B91" s="16" t="n"/>
      <c r="C91" s="16" t="n"/>
      <c r="D91" s="16" t="n"/>
      <c r="E91" s="17" t="n"/>
      <c r="F91" s="17" t="n"/>
      <c r="G91" s="17" t="n"/>
      <c r="H91" s="17" t="n"/>
      <c r="I91" s="17" t="n"/>
      <c r="J91" s="17" t="n"/>
      <c r="K91" s="17" t="n"/>
    </row>
    <row r="92">
      <c r="A92" s="16" t="n">
        <v>87</v>
      </c>
      <c r="B92" s="16" t="n"/>
      <c r="C92" s="16" t="n"/>
      <c r="D92" s="16" t="n"/>
      <c r="E92" s="17" t="n"/>
      <c r="F92" s="17" t="n"/>
      <c r="G92" s="17" t="n"/>
      <c r="H92" s="17" t="n"/>
      <c r="I92" s="17" t="n"/>
      <c r="J92" s="17" t="n"/>
      <c r="K92" s="17" t="n"/>
    </row>
    <row r="93">
      <c r="A93" s="16" t="n">
        <v>88</v>
      </c>
      <c r="B93" s="16" t="n"/>
      <c r="C93" s="16" t="n"/>
      <c r="D93" s="16" t="n"/>
      <c r="E93" s="17" t="n"/>
      <c r="F93" s="17" t="n"/>
      <c r="G93" s="17" t="n"/>
      <c r="H93" s="17" t="n"/>
      <c r="I93" s="17" t="n"/>
      <c r="J93" s="17" t="n"/>
      <c r="K93" s="17" t="n"/>
    </row>
    <row r="94">
      <c r="A94" s="16" t="n">
        <v>89</v>
      </c>
      <c r="B94" s="16" t="n"/>
      <c r="C94" s="16" t="n"/>
      <c r="D94" s="16" t="n"/>
      <c r="E94" s="17" t="n"/>
      <c r="F94" s="17" t="n"/>
      <c r="G94" s="17" t="n"/>
      <c r="H94" s="17" t="n"/>
      <c r="I94" s="17" t="n"/>
      <c r="J94" s="17" t="n"/>
      <c r="K94" s="17" t="n"/>
    </row>
    <row r="95">
      <c r="A95" s="16" t="n">
        <v>90</v>
      </c>
      <c r="B95" s="16" t="n"/>
      <c r="C95" s="16" t="n"/>
      <c r="D95" s="16" t="n"/>
      <c r="E95" s="17" t="n"/>
      <c r="F95" s="17" t="n"/>
      <c r="G95" s="17" t="n"/>
      <c r="H95" s="17" t="n"/>
      <c r="I95" s="17" t="n"/>
      <c r="J95" s="17" t="n"/>
      <c r="K95" s="17" t="n"/>
    </row>
    <row r="96">
      <c r="A96" s="16" t="n">
        <v>91</v>
      </c>
      <c r="B96" s="16" t="n"/>
      <c r="C96" s="16" t="n"/>
      <c r="D96" s="16" t="n"/>
      <c r="E96" s="17" t="n"/>
      <c r="F96" s="17" t="n"/>
      <c r="G96" s="17" t="n"/>
      <c r="H96" s="17" t="n"/>
      <c r="I96" s="17" t="n"/>
      <c r="J96" s="17" t="n"/>
      <c r="K96" s="17" t="n"/>
    </row>
    <row r="97">
      <c r="A97" s="16" t="n">
        <v>92</v>
      </c>
      <c r="B97" s="16" t="n"/>
      <c r="C97" s="16" t="n"/>
      <c r="D97" s="16" t="n"/>
      <c r="E97" s="17" t="n"/>
      <c r="F97" s="17" t="n"/>
      <c r="G97" s="17" t="n"/>
      <c r="H97" s="17" t="n"/>
      <c r="I97" s="17" t="n"/>
      <c r="J97" s="17" t="n"/>
      <c r="K97" s="17" t="n"/>
    </row>
    <row r="98">
      <c r="A98" s="16" t="n">
        <v>93</v>
      </c>
      <c r="B98" s="16" t="n"/>
      <c r="C98" s="16" t="n"/>
      <c r="D98" s="16" t="n"/>
      <c r="E98" s="17" t="n"/>
      <c r="F98" s="17" t="n"/>
      <c r="G98" s="17" t="n"/>
      <c r="H98" s="17" t="n"/>
      <c r="I98" s="17" t="n"/>
      <c r="J98" s="17" t="n"/>
      <c r="K98" s="17" t="n"/>
    </row>
    <row r="99">
      <c r="A99" s="16" t="n">
        <v>94</v>
      </c>
      <c r="B99" s="16" t="n"/>
      <c r="C99" s="16" t="n"/>
      <c r="D99" s="16" t="n"/>
      <c r="E99" s="17" t="n"/>
      <c r="F99" s="17" t="n"/>
      <c r="G99" s="17" t="n"/>
      <c r="H99" s="17" t="n"/>
      <c r="I99" s="17" t="n"/>
      <c r="J99" s="17" t="n"/>
      <c r="K99" s="17" t="n"/>
    </row>
    <row r="100">
      <c r="A100" s="16" t="n">
        <v>95</v>
      </c>
      <c r="B100" s="16" t="n"/>
      <c r="C100" s="16" t="n"/>
      <c r="D100" s="16" t="n"/>
      <c r="E100" s="17" t="n"/>
      <c r="F100" s="17" t="n"/>
      <c r="G100" s="17" t="n"/>
      <c r="H100" s="17" t="n"/>
      <c r="I100" s="17" t="n"/>
      <c r="J100" s="17" t="n"/>
      <c r="K100" s="17" t="n"/>
    </row>
    <row r="101">
      <c r="A101" s="16" t="n">
        <v>96</v>
      </c>
      <c r="B101" s="16" t="n"/>
      <c r="C101" s="16" t="n"/>
      <c r="D101" s="16" t="n"/>
      <c r="E101" s="17" t="n"/>
      <c r="F101" s="17" t="n"/>
      <c r="G101" s="17" t="n"/>
      <c r="H101" s="17" t="n"/>
      <c r="I101" s="17" t="n"/>
      <c r="J101" s="17" t="n"/>
      <c r="K101" s="17" t="n"/>
    </row>
    <row r="102">
      <c r="A102" s="16" t="n">
        <v>97</v>
      </c>
      <c r="B102" s="16" t="n"/>
      <c r="C102" s="16" t="n"/>
      <c r="D102" s="16" t="n"/>
      <c r="E102" s="17" t="n"/>
      <c r="F102" s="17" t="n"/>
      <c r="G102" s="17" t="n"/>
      <c r="H102" s="17" t="n"/>
      <c r="I102" s="17" t="n"/>
      <c r="J102" s="17" t="n"/>
      <c r="K102" s="17" t="n"/>
    </row>
    <row r="103">
      <c r="A103" s="16" t="n">
        <v>98</v>
      </c>
      <c r="B103" s="16" t="n"/>
      <c r="C103" s="16" t="n"/>
      <c r="D103" s="16" t="n"/>
      <c r="E103" s="17" t="n"/>
      <c r="F103" s="17" t="n"/>
      <c r="G103" s="17" t="n"/>
      <c r="H103" s="17" t="n"/>
      <c r="I103" s="17" t="n"/>
      <c r="J103" s="17" t="n"/>
      <c r="K103" s="17" t="n"/>
    </row>
    <row r="104">
      <c r="A104" s="16" t="n">
        <v>99</v>
      </c>
      <c r="B104" s="16" t="n"/>
      <c r="C104" s="16" t="n"/>
      <c r="D104" s="16" t="n"/>
      <c r="E104" s="17" t="n"/>
      <c r="F104" s="17" t="n"/>
      <c r="G104" s="17" t="n"/>
      <c r="H104" s="17" t="n"/>
      <c r="I104" s="17" t="n"/>
      <c r="J104" s="17" t="n"/>
      <c r="K104" s="17" t="n"/>
    </row>
    <row r="105">
      <c r="A105" s="16" t="n">
        <v>100</v>
      </c>
      <c r="B105" s="16" t="n"/>
      <c r="C105" s="16" t="n"/>
      <c r="D105" s="16" t="n"/>
      <c r="E105" s="17" t="n"/>
      <c r="F105" s="17" t="n"/>
      <c r="G105" s="17" t="n"/>
      <c r="H105" s="17" t="n"/>
      <c r="I105" s="17" t="n"/>
      <c r="J105" s="17" t="n"/>
      <c r="K105" s="17" t="n"/>
    </row>
    <row r="106">
      <c r="A106" s="16" t="n">
        <v>101</v>
      </c>
      <c r="B106" s="16" t="n"/>
      <c r="C106" s="16" t="n"/>
      <c r="D106" s="16" t="n"/>
      <c r="E106" s="17" t="n"/>
      <c r="F106" s="17" t="n"/>
      <c r="G106" s="17" t="n"/>
      <c r="H106" s="17" t="n"/>
      <c r="I106" s="17" t="n"/>
      <c r="J106" s="17" t="n"/>
      <c r="K106" s="17" t="n"/>
    </row>
    <row r="107">
      <c r="A107" s="16" t="n">
        <v>102</v>
      </c>
      <c r="B107" s="16" t="n"/>
      <c r="C107" s="16" t="n"/>
      <c r="D107" s="16" t="n"/>
      <c r="E107" s="17" t="n"/>
      <c r="F107" s="17" t="n"/>
      <c r="G107" s="17" t="n"/>
      <c r="H107" s="17" t="n"/>
      <c r="I107" s="17" t="n"/>
      <c r="J107" s="17" t="n"/>
      <c r="K107" s="17" t="n"/>
    </row>
    <row r="108">
      <c r="A108" s="16" t="n">
        <v>103</v>
      </c>
      <c r="B108" s="16" t="n"/>
      <c r="C108" s="16" t="n"/>
      <c r="D108" s="16" t="n"/>
      <c r="E108" s="17" t="n"/>
      <c r="F108" s="17" t="n"/>
      <c r="G108" s="17" t="n"/>
      <c r="H108" s="17" t="n"/>
      <c r="I108" s="17" t="n"/>
      <c r="J108" s="17" t="n"/>
      <c r="K108" s="17" t="n"/>
    </row>
    <row r="109">
      <c r="A109" s="16" t="n">
        <v>104</v>
      </c>
      <c r="B109" s="16" t="n"/>
      <c r="C109" s="16" t="n"/>
      <c r="D109" s="16" t="n"/>
      <c r="E109" s="17" t="n"/>
      <c r="F109" s="17" t="n"/>
      <c r="G109" s="17" t="n"/>
      <c r="H109" s="17" t="n"/>
      <c r="I109" s="17" t="n"/>
      <c r="J109" s="17" t="n"/>
      <c r="K109" s="17" t="n"/>
    </row>
    <row r="110">
      <c r="A110" s="16" t="n">
        <v>105</v>
      </c>
      <c r="B110" s="16" t="n"/>
      <c r="C110" s="16" t="n"/>
      <c r="D110" s="16" t="n"/>
      <c r="E110" s="17" t="n"/>
      <c r="F110" s="17" t="n"/>
      <c r="G110" s="17" t="n"/>
      <c r="H110" s="17" t="n"/>
      <c r="I110" s="17" t="n"/>
      <c r="J110" s="17" t="n"/>
      <c r="K110" s="17" t="n"/>
    </row>
    <row r="111">
      <c r="A111" s="16" t="n">
        <v>106</v>
      </c>
      <c r="B111" s="16" t="n"/>
      <c r="C111" s="16" t="n"/>
      <c r="D111" s="16" t="n"/>
      <c r="E111" s="17" t="n"/>
      <c r="F111" s="17" t="n"/>
      <c r="G111" s="17" t="n"/>
      <c r="H111" s="17" t="n"/>
      <c r="I111" s="17" t="n"/>
      <c r="J111" s="17" t="n"/>
      <c r="K111" s="17" t="n"/>
    </row>
    <row r="112">
      <c r="A112" s="16" t="n">
        <v>107</v>
      </c>
      <c r="B112" s="16" t="n"/>
      <c r="C112" s="16" t="n"/>
      <c r="D112" s="16" t="n"/>
      <c r="E112" s="17" t="n"/>
      <c r="F112" s="17" t="n"/>
      <c r="G112" s="17" t="n"/>
      <c r="H112" s="17" t="n"/>
      <c r="I112" s="17" t="n"/>
      <c r="J112" s="17" t="n"/>
      <c r="K112" s="17" t="n"/>
    </row>
    <row r="113">
      <c r="A113" s="16" t="n">
        <v>108</v>
      </c>
      <c r="B113" s="16" t="n"/>
      <c r="C113" s="16" t="n"/>
      <c r="D113" s="16" t="n"/>
      <c r="E113" s="17" t="n"/>
      <c r="F113" s="17" t="n"/>
      <c r="G113" s="17" t="n"/>
      <c r="H113" s="17" t="n"/>
      <c r="I113" s="17" t="n"/>
      <c r="J113" s="17" t="n"/>
      <c r="K113" s="17" t="n"/>
    </row>
    <row r="114">
      <c r="A114" s="16" t="n">
        <v>109</v>
      </c>
      <c r="B114" s="16" t="n"/>
      <c r="C114" s="16" t="n"/>
      <c r="D114" s="16" t="n"/>
      <c r="E114" s="17" t="n"/>
      <c r="F114" s="17" t="n"/>
      <c r="G114" s="17" t="n"/>
      <c r="H114" s="17" t="n"/>
      <c r="I114" s="17" t="n"/>
      <c r="J114" s="17" t="n"/>
      <c r="K114" s="17" t="n"/>
    </row>
    <row r="115">
      <c r="A115" s="16" t="n">
        <v>110</v>
      </c>
      <c r="B115" s="16" t="n"/>
      <c r="C115" s="16" t="n"/>
      <c r="D115" s="16" t="n"/>
      <c r="E115" s="17" t="n"/>
      <c r="F115" s="17" t="n"/>
      <c r="G115" s="17" t="n"/>
      <c r="H115" s="17" t="n"/>
      <c r="I115" s="17" t="n"/>
      <c r="J115" s="17" t="n"/>
      <c r="K115" s="17" t="n"/>
    </row>
    <row r="116">
      <c r="A116" s="16" t="n">
        <v>111</v>
      </c>
      <c r="B116" s="16" t="n"/>
      <c r="C116" s="16" t="n"/>
      <c r="D116" s="16" t="n"/>
      <c r="E116" s="17" t="n"/>
      <c r="F116" s="17" t="n"/>
      <c r="G116" s="17" t="n"/>
      <c r="H116" s="17" t="n"/>
      <c r="I116" s="17" t="n"/>
      <c r="J116" s="17" t="n"/>
      <c r="K116" s="17" t="n"/>
    </row>
    <row r="117">
      <c r="A117" s="16" t="n">
        <v>112</v>
      </c>
      <c r="B117" s="16" t="n"/>
      <c r="C117" s="16" t="n"/>
      <c r="D117" s="16" t="n"/>
      <c r="E117" s="17" t="n"/>
      <c r="F117" s="17" t="n"/>
      <c r="G117" s="17" t="n"/>
      <c r="H117" s="17" t="n"/>
      <c r="I117" s="17" t="n"/>
      <c r="J117" s="17" t="n"/>
      <c r="K117" s="17" t="n"/>
    </row>
    <row r="118">
      <c r="A118" s="16" t="n">
        <v>113</v>
      </c>
      <c r="B118" s="16" t="n"/>
      <c r="C118" s="16" t="n"/>
      <c r="D118" s="16" t="n"/>
      <c r="E118" s="17" t="n"/>
      <c r="F118" s="17" t="n"/>
      <c r="G118" s="17" t="n"/>
      <c r="H118" s="17" t="n"/>
      <c r="I118" s="17" t="n"/>
      <c r="J118" s="17" t="n"/>
      <c r="K118" s="17" t="n"/>
    </row>
    <row r="119">
      <c r="A119" s="16" t="n">
        <v>114</v>
      </c>
      <c r="B119" s="16" t="n"/>
      <c r="C119" s="16" t="n"/>
      <c r="D119" s="16" t="n"/>
      <c r="E119" s="17" t="n"/>
      <c r="F119" s="17" t="n"/>
      <c r="G119" s="17" t="n"/>
      <c r="H119" s="17" t="n"/>
      <c r="I119" s="17" t="n"/>
      <c r="J119" s="17" t="n"/>
      <c r="K119" s="17" t="n"/>
    </row>
    <row r="120">
      <c r="A120" s="16" t="n">
        <v>115</v>
      </c>
      <c r="B120" s="16" t="n"/>
      <c r="C120" s="16" t="n"/>
      <c r="D120" s="16" t="n"/>
      <c r="E120" s="17" t="n"/>
      <c r="F120" s="17" t="n"/>
      <c r="G120" s="17" t="n"/>
      <c r="H120" s="17" t="n"/>
      <c r="I120" s="17" t="n"/>
      <c r="J120" s="17" t="n"/>
      <c r="K120" s="17" t="n"/>
    </row>
    <row r="121">
      <c r="A121" s="16" t="n">
        <v>116</v>
      </c>
      <c r="B121" s="16" t="n"/>
      <c r="C121" s="16" t="n"/>
      <c r="D121" s="16" t="n"/>
      <c r="E121" s="17" t="n"/>
      <c r="F121" s="17" t="n"/>
      <c r="G121" s="17" t="n"/>
      <c r="H121" s="17" t="n"/>
      <c r="I121" s="17" t="n"/>
      <c r="J121" s="17" t="n"/>
      <c r="K121" s="17" t="n"/>
    </row>
    <row r="122">
      <c r="A122" s="16" t="n">
        <v>117</v>
      </c>
      <c r="B122" s="16" t="n"/>
      <c r="C122" s="16" t="n"/>
      <c r="D122" s="16" t="n"/>
      <c r="E122" s="17" t="n"/>
      <c r="F122" s="17" t="n"/>
      <c r="G122" s="17" t="n"/>
      <c r="H122" s="17" t="n"/>
      <c r="I122" s="17" t="n"/>
      <c r="J122" s="17" t="n"/>
      <c r="K122" s="17" t="n"/>
    </row>
    <row r="123">
      <c r="A123" s="16" t="n">
        <v>118</v>
      </c>
      <c r="B123" s="16" t="n"/>
      <c r="C123" s="16" t="n"/>
      <c r="D123" s="16" t="n"/>
      <c r="E123" s="17" t="n"/>
      <c r="F123" s="17" t="n"/>
      <c r="G123" s="17" t="n"/>
      <c r="H123" s="17" t="n"/>
      <c r="I123" s="17" t="n"/>
      <c r="J123" s="17" t="n"/>
      <c r="K123" s="17" t="n"/>
    </row>
    <row r="124">
      <c r="A124" s="16" t="n">
        <v>119</v>
      </c>
      <c r="B124" s="16" t="n"/>
      <c r="C124" s="16" t="n"/>
      <c r="D124" s="16" t="n"/>
      <c r="E124" s="17" t="n"/>
      <c r="F124" s="17" t="n"/>
      <c r="G124" s="17" t="n"/>
      <c r="H124" s="17" t="n"/>
      <c r="I124" s="17" t="n"/>
      <c r="J124" s="17" t="n"/>
      <c r="K124" s="17" t="n"/>
    </row>
    <row r="125">
      <c r="A125" s="16" t="n">
        <v>120</v>
      </c>
      <c r="B125" s="16" t="n"/>
      <c r="C125" s="16" t="n"/>
      <c r="D125" s="16" t="n"/>
      <c r="E125" s="17" t="n"/>
      <c r="F125" s="17" t="n"/>
      <c r="G125" s="17" t="n"/>
      <c r="H125" s="17" t="n"/>
      <c r="I125" s="17" t="n"/>
      <c r="J125" s="17" t="n"/>
      <c r="K125" s="17" t="n"/>
    </row>
    <row r="126">
      <c r="A126" s="16" t="n">
        <v>121</v>
      </c>
      <c r="B126" s="16" t="n"/>
      <c r="C126" s="16" t="n"/>
      <c r="D126" s="16" t="n"/>
      <c r="E126" s="17" t="n"/>
      <c r="F126" s="17" t="n"/>
      <c r="G126" s="17" t="n"/>
      <c r="H126" s="17" t="n"/>
      <c r="I126" s="17" t="n"/>
      <c r="J126" s="17" t="n"/>
      <c r="K126" s="17" t="n"/>
    </row>
    <row r="127">
      <c r="A127" s="16" t="n">
        <v>122</v>
      </c>
      <c r="B127" s="16" t="n"/>
      <c r="C127" s="16" t="n"/>
      <c r="D127" s="16" t="n"/>
      <c r="E127" s="17" t="n"/>
      <c r="F127" s="17" t="n"/>
      <c r="G127" s="17" t="n"/>
      <c r="H127" s="17" t="n"/>
      <c r="I127" s="17" t="n"/>
      <c r="J127" s="17" t="n"/>
      <c r="K127" s="17" t="n"/>
    </row>
    <row r="128">
      <c r="A128" s="16" t="n">
        <v>123</v>
      </c>
      <c r="B128" s="16" t="n"/>
      <c r="C128" s="16" t="n"/>
      <c r="D128" s="16" t="n"/>
      <c r="E128" s="17" t="n"/>
      <c r="F128" s="17" t="n"/>
      <c r="G128" s="17" t="n"/>
      <c r="H128" s="17" t="n"/>
      <c r="I128" s="17" t="n"/>
      <c r="J128" s="17" t="n"/>
      <c r="K128" s="17" t="n"/>
    </row>
    <row r="129">
      <c r="A129" s="16" t="n">
        <v>124</v>
      </c>
      <c r="B129" s="16" t="n"/>
      <c r="C129" s="16" t="n"/>
      <c r="D129" s="16" t="n"/>
      <c r="E129" s="17" t="n"/>
      <c r="F129" s="17" t="n"/>
      <c r="G129" s="17" t="n"/>
      <c r="H129" s="17" t="n"/>
      <c r="I129" s="17" t="n"/>
      <c r="J129" s="17" t="n"/>
      <c r="K129" s="17" t="n"/>
    </row>
    <row r="130">
      <c r="A130" s="16" t="n">
        <v>125</v>
      </c>
      <c r="B130" s="16" t="n"/>
      <c r="C130" s="16" t="n"/>
      <c r="D130" s="16" t="n"/>
      <c r="E130" s="17" t="n"/>
      <c r="F130" s="17" t="n"/>
      <c r="G130" s="17" t="n"/>
      <c r="H130" s="17" t="n"/>
      <c r="I130" s="17" t="n"/>
      <c r="J130" s="17" t="n"/>
      <c r="K130" s="17" t="n"/>
    </row>
    <row r="131">
      <c r="A131" s="16" t="n">
        <v>126</v>
      </c>
      <c r="B131" s="16" t="n"/>
      <c r="C131" s="16" t="n"/>
      <c r="D131" s="16" t="n"/>
      <c r="E131" s="17" t="n"/>
      <c r="F131" s="17" t="n"/>
      <c r="G131" s="17" t="n"/>
      <c r="H131" s="17" t="n"/>
      <c r="I131" s="17" t="n"/>
      <c r="J131" s="17" t="n"/>
      <c r="K131" s="17" t="n"/>
    </row>
    <row r="132">
      <c r="A132" s="16" t="n">
        <v>127</v>
      </c>
      <c r="B132" s="16" t="n"/>
      <c r="C132" s="16" t="n"/>
      <c r="D132" s="16" t="n"/>
      <c r="E132" s="17" t="n"/>
      <c r="F132" s="17" t="n"/>
      <c r="G132" s="17" t="n"/>
      <c r="H132" s="17" t="n"/>
      <c r="I132" s="17" t="n"/>
      <c r="J132" s="17" t="n"/>
      <c r="K132" s="17" t="n"/>
    </row>
    <row r="133">
      <c r="A133" s="16" t="n">
        <v>128</v>
      </c>
      <c r="B133" s="16" t="n"/>
      <c r="C133" s="16" t="n"/>
      <c r="D133" s="16" t="n"/>
      <c r="E133" s="17" t="n"/>
      <c r="F133" s="17" t="n"/>
      <c r="G133" s="17" t="n"/>
      <c r="H133" s="17" t="n"/>
      <c r="I133" s="17" t="n"/>
      <c r="J133" s="17" t="n"/>
      <c r="K133" s="17" t="n"/>
    </row>
    <row r="134">
      <c r="A134" s="16" t="n">
        <v>129</v>
      </c>
      <c r="B134" s="16" t="n"/>
      <c r="C134" s="16" t="n"/>
      <c r="D134" s="16" t="n"/>
      <c r="E134" s="17" t="n"/>
      <c r="F134" s="17" t="n"/>
      <c r="G134" s="17" t="n"/>
      <c r="H134" s="17" t="n"/>
      <c r="I134" s="17" t="n"/>
      <c r="J134" s="17" t="n"/>
      <c r="K134" s="17" t="n"/>
    </row>
    <row r="135">
      <c r="A135" s="16" t="n">
        <v>130</v>
      </c>
      <c r="B135" s="16" t="n"/>
      <c r="C135" s="16" t="n"/>
      <c r="D135" s="16" t="n"/>
      <c r="E135" s="17" t="n"/>
      <c r="F135" s="17" t="n"/>
      <c r="G135" s="17" t="n"/>
      <c r="H135" s="17" t="n"/>
      <c r="I135" s="17" t="n"/>
      <c r="J135" s="17" t="n"/>
      <c r="K135" s="17" t="n"/>
    </row>
    <row r="136">
      <c r="A136" s="16" t="n">
        <v>131</v>
      </c>
      <c r="B136" s="16" t="n"/>
      <c r="C136" s="16" t="n"/>
      <c r="D136" s="16" t="n"/>
      <c r="E136" s="17" t="n"/>
      <c r="F136" s="17" t="n"/>
      <c r="G136" s="17" t="n"/>
      <c r="H136" s="17" t="n"/>
      <c r="I136" s="17" t="n"/>
      <c r="J136" s="17" t="n"/>
      <c r="K136" s="17" t="n"/>
    </row>
    <row r="137">
      <c r="A137" s="16" t="n">
        <v>132</v>
      </c>
      <c r="B137" s="16" t="n"/>
      <c r="C137" s="16" t="n"/>
      <c r="D137" s="16" t="n"/>
      <c r="E137" s="17" t="n"/>
      <c r="F137" s="17" t="n"/>
      <c r="G137" s="17" t="n"/>
      <c r="H137" s="17" t="n"/>
      <c r="I137" s="17" t="n"/>
      <c r="J137" s="17" t="n"/>
      <c r="K137" s="17" t="n"/>
    </row>
    <row r="138">
      <c r="A138" s="16" t="n">
        <v>133</v>
      </c>
      <c r="B138" s="16" t="n"/>
      <c r="C138" s="16" t="n"/>
      <c r="D138" s="16" t="n"/>
      <c r="E138" s="17" t="n"/>
      <c r="F138" s="17" t="n"/>
      <c r="G138" s="17" t="n"/>
      <c r="H138" s="17" t="n"/>
      <c r="I138" s="17" t="n"/>
      <c r="J138" s="17" t="n"/>
      <c r="K138" s="17" t="n"/>
    </row>
    <row r="139">
      <c r="A139" s="16" t="n">
        <v>134</v>
      </c>
      <c r="B139" s="16" t="n"/>
      <c r="C139" s="16" t="n"/>
      <c r="D139" s="16" t="n"/>
      <c r="E139" s="17" t="n"/>
      <c r="F139" s="17" t="n"/>
      <c r="G139" s="17" t="n"/>
      <c r="H139" s="17" t="n"/>
      <c r="I139" s="17" t="n"/>
      <c r="J139" s="17" t="n"/>
      <c r="K139" s="17" t="n"/>
    </row>
    <row r="140">
      <c r="A140" s="16" t="n">
        <v>135</v>
      </c>
      <c r="B140" s="16" t="n"/>
      <c r="C140" s="16" t="n"/>
      <c r="D140" s="16" t="n"/>
      <c r="E140" s="17" t="n"/>
      <c r="F140" s="17" t="n"/>
      <c r="G140" s="17" t="n"/>
      <c r="H140" s="17" t="n"/>
      <c r="I140" s="17" t="n"/>
      <c r="J140" s="17" t="n"/>
      <c r="K140" s="17" t="n"/>
    </row>
    <row r="141">
      <c r="A141" s="16" t="n">
        <v>136</v>
      </c>
      <c r="B141" s="16" t="n"/>
      <c r="C141" s="16" t="n"/>
      <c r="D141" s="16" t="n"/>
      <c r="E141" s="17" t="n"/>
      <c r="F141" s="17" t="n"/>
      <c r="G141" s="17" t="n"/>
      <c r="H141" s="17" t="n"/>
      <c r="I141" s="17" t="n"/>
      <c r="J141" s="17" t="n"/>
      <c r="K141" s="17" t="n"/>
    </row>
    <row r="142">
      <c r="A142" s="16" t="n">
        <v>137</v>
      </c>
      <c r="B142" s="16" t="n"/>
      <c r="C142" s="16" t="n"/>
      <c r="D142" s="16" t="n"/>
      <c r="E142" s="17" t="n"/>
      <c r="F142" s="17" t="n"/>
      <c r="G142" s="17" t="n"/>
      <c r="H142" s="17" t="n"/>
      <c r="I142" s="17" t="n"/>
      <c r="J142" s="17" t="n"/>
      <c r="K142" s="17" t="n"/>
    </row>
    <row r="143">
      <c r="A143" s="16" t="n">
        <v>138</v>
      </c>
      <c r="B143" s="16" t="n"/>
      <c r="C143" s="16" t="n"/>
      <c r="D143" s="16" t="n"/>
      <c r="E143" s="17" t="n"/>
      <c r="F143" s="17" t="n"/>
      <c r="G143" s="17" t="n"/>
      <c r="H143" s="17" t="n"/>
      <c r="I143" s="17" t="n"/>
      <c r="J143" s="17" t="n"/>
      <c r="K143" s="17" t="n"/>
    </row>
    <row r="144">
      <c r="A144" s="16" t="n">
        <v>139</v>
      </c>
      <c r="B144" s="16" t="n"/>
      <c r="C144" s="16" t="n"/>
      <c r="D144" s="16" t="n"/>
      <c r="E144" s="17" t="n"/>
      <c r="F144" s="17" t="n"/>
      <c r="G144" s="17" t="n"/>
      <c r="H144" s="17" t="n"/>
      <c r="I144" s="17" t="n"/>
      <c r="J144" s="17" t="n"/>
      <c r="K144" s="17" t="n"/>
    </row>
    <row r="145">
      <c r="A145" s="16" t="n">
        <v>140</v>
      </c>
      <c r="B145" s="16" t="n"/>
      <c r="C145" s="16" t="n"/>
      <c r="D145" s="16" t="n"/>
      <c r="E145" s="17" t="n"/>
      <c r="F145" s="17" t="n"/>
      <c r="G145" s="17" t="n"/>
      <c r="H145" s="17" t="n"/>
      <c r="I145" s="17" t="n"/>
      <c r="J145" s="17" t="n"/>
      <c r="K145" s="17" t="n"/>
    </row>
    <row r="146">
      <c r="A146" s="16" t="n">
        <v>141</v>
      </c>
      <c r="B146" s="16" t="n"/>
      <c r="C146" s="16" t="n"/>
      <c r="D146" s="16" t="n"/>
      <c r="E146" s="17" t="n"/>
      <c r="F146" s="17" t="n"/>
      <c r="G146" s="17" t="n"/>
      <c r="H146" s="17" t="n"/>
      <c r="I146" s="17" t="n"/>
      <c r="J146" s="17" t="n"/>
      <c r="K146" s="17" t="n"/>
    </row>
    <row r="147">
      <c r="A147" s="16" t="n">
        <v>142</v>
      </c>
      <c r="B147" s="16" t="n"/>
      <c r="C147" s="16" t="n"/>
      <c r="D147" s="16" t="n"/>
      <c r="E147" s="17" t="n"/>
      <c r="F147" s="17" t="n"/>
      <c r="G147" s="17" t="n"/>
      <c r="H147" s="17" t="n"/>
      <c r="I147" s="17" t="n"/>
      <c r="J147" s="17" t="n"/>
      <c r="K147" s="17" t="n"/>
    </row>
    <row r="148">
      <c r="A148" s="16" t="n">
        <v>143</v>
      </c>
      <c r="B148" s="16" t="n"/>
      <c r="C148" s="16" t="n"/>
      <c r="D148" s="16" t="n"/>
      <c r="E148" s="17" t="n"/>
      <c r="F148" s="17" t="n"/>
      <c r="G148" s="17" t="n"/>
      <c r="H148" s="17" t="n"/>
      <c r="I148" s="17" t="n"/>
      <c r="J148" s="17" t="n"/>
      <c r="K148" s="17" t="n"/>
    </row>
    <row r="149">
      <c r="A149" s="16" t="n">
        <v>144</v>
      </c>
      <c r="B149" s="16" t="n"/>
      <c r="C149" s="16" t="n"/>
      <c r="D149" s="16" t="n"/>
      <c r="E149" s="17" t="n"/>
      <c r="F149" s="17" t="n"/>
      <c r="G149" s="17" t="n"/>
      <c r="H149" s="17" t="n"/>
      <c r="I149" s="17" t="n"/>
      <c r="J149" s="17" t="n"/>
      <c r="K149" s="17" t="n"/>
    </row>
    <row r="150">
      <c r="A150" s="16" t="n">
        <v>145</v>
      </c>
      <c r="B150" s="16" t="n"/>
      <c r="C150" s="16" t="n"/>
      <c r="D150" s="16" t="n"/>
      <c r="E150" s="17" t="n"/>
      <c r="F150" s="17" t="n"/>
      <c r="G150" s="17" t="n"/>
      <c r="H150" s="17" t="n"/>
      <c r="I150" s="17" t="n"/>
      <c r="J150" s="17" t="n"/>
      <c r="K150" s="17" t="n"/>
    </row>
    <row r="151">
      <c r="A151" s="16" t="n">
        <v>146</v>
      </c>
      <c r="B151" s="16" t="n"/>
      <c r="C151" s="16" t="n"/>
      <c r="D151" s="16" t="n"/>
      <c r="E151" s="17" t="n"/>
      <c r="F151" s="17" t="n"/>
      <c r="G151" s="17" t="n"/>
      <c r="H151" s="17" t="n"/>
      <c r="I151" s="17" t="n"/>
      <c r="J151" s="17" t="n"/>
      <c r="K151" s="17" t="n"/>
    </row>
    <row r="152">
      <c r="A152" s="16" t="n">
        <v>147</v>
      </c>
      <c r="B152" s="16" t="n"/>
      <c r="C152" s="16" t="n"/>
      <c r="D152" s="16" t="n"/>
      <c r="E152" s="17" t="n"/>
      <c r="F152" s="17" t="n"/>
      <c r="G152" s="17" t="n"/>
      <c r="H152" s="17" t="n"/>
      <c r="I152" s="17" t="n"/>
      <c r="J152" s="17" t="n"/>
      <c r="K152" s="17" t="n"/>
    </row>
    <row r="153">
      <c r="A153" s="16" t="n">
        <v>148</v>
      </c>
      <c r="B153" s="16" t="n"/>
      <c r="C153" s="16" t="n"/>
      <c r="D153" s="16" t="n"/>
      <c r="E153" s="17" t="n"/>
      <c r="F153" s="17" t="n"/>
      <c r="G153" s="17" t="n"/>
      <c r="H153" s="17" t="n"/>
      <c r="I153" s="17" t="n"/>
      <c r="J153" s="17" t="n"/>
      <c r="K153" s="17" t="n"/>
    </row>
    <row r="154">
      <c r="A154" s="16" t="n">
        <v>149</v>
      </c>
      <c r="B154" s="16" t="n"/>
      <c r="C154" s="16" t="n"/>
      <c r="D154" s="16" t="n"/>
      <c r="E154" s="17" t="n"/>
      <c r="F154" s="17" t="n"/>
      <c r="G154" s="17" t="n"/>
      <c r="H154" s="17" t="n"/>
      <c r="I154" s="17" t="n"/>
      <c r="J154" s="17" t="n"/>
      <c r="K154" s="17" t="n"/>
    </row>
    <row r="155">
      <c r="A155" s="16" t="n">
        <v>150</v>
      </c>
      <c r="B155" s="16" t="n"/>
      <c r="C155" s="16" t="n"/>
      <c r="D155" s="16" t="n"/>
      <c r="E155" s="17" t="n"/>
      <c r="F155" s="17" t="n"/>
      <c r="G155" s="17" t="n"/>
      <c r="H155" s="17" t="n"/>
      <c r="I155" s="17" t="n"/>
      <c r="J155" s="17" t="n"/>
      <c r="K155" s="17" t="n"/>
    </row>
    <row r="156">
      <c r="A156" s="16" t="n">
        <v>151</v>
      </c>
      <c r="B156" s="16" t="n"/>
      <c r="C156" s="16" t="n"/>
      <c r="D156" s="16" t="n"/>
      <c r="E156" s="17" t="n"/>
      <c r="F156" s="17" t="n"/>
      <c r="G156" s="17" t="n"/>
      <c r="H156" s="17" t="n"/>
      <c r="I156" s="17" t="n"/>
      <c r="J156" s="17" t="n"/>
      <c r="K156" s="17" t="n"/>
    </row>
    <row r="157">
      <c r="A157" s="16" t="n">
        <v>152</v>
      </c>
      <c r="B157" s="16" t="n"/>
      <c r="C157" s="16" t="n"/>
      <c r="D157" s="16" t="n"/>
      <c r="E157" s="17" t="n"/>
      <c r="F157" s="17" t="n"/>
      <c r="G157" s="17" t="n"/>
      <c r="H157" s="17" t="n"/>
      <c r="I157" s="17" t="n"/>
      <c r="J157" s="17" t="n"/>
      <c r="K157" s="17" t="n"/>
    </row>
    <row r="158">
      <c r="A158" s="16" t="n">
        <v>153</v>
      </c>
      <c r="B158" s="16" t="n"/>
      <c r="C158" s="16" t="n"/>
      <c r="D158" s="16" t="n"/>
      <c r="E158" s="17" t="n"/>
      <c r="F158" s="17" t="n"/>
      <c r="G158" s="17" t="n"/>
      <c r="H158" s="17" t="n"/>
      <c r="I158" s="17" t="n"/>
      <c r="J158" s="17" t="n"/>
      <c r="K158" s="17" t="n"/>
    </row>
    <row r="159">
      <c r="A159" s="16" t="n">
        <v>154</v>
      </c>
      <c r="B159" s="16" t="n"/>
      <c r="C159" s="16" t="n"/>
      <c r="D159" s="16" t="n"/>
      <c r="E159" s="17" t="n"/>
      <c r="F159" s="17" t="n"/>
      <c r="G159" s="17" t="n"/>
      <c r="H159" s="17" t="n"/>
      <c r="I159" s="17" t="n"/>
      <c r="J159" s="17" t="n"/>
      <c r="K159" s="17" t="n"/>
    </row>
    <row r="160">
      <c r="A160" s="16" t="n">
        <v>155</v>
      </c>
      <c r="B160" s="16" t="n"/>
      <c r="C160" s="16" t="n"/>
      <c r="D160" s="16" t="n"/>
      <c r="E160" s="17" t="n"/>
      <c r="F160" s="17" t="n"/>
      <c r="G160" s="17" t="n"/>
      <c r="H160" s="17" t="n"/>
      <c r="I160" s="17" t="n"/>
      <c r="J160" s="17" t="n"/>
      <c r="K160" s="17" t="n"/>
    </row>
    <row r="161">
      <c r="A161" s="16" t="n">
        <v>156</v>
      </c>
      <c r="B161" s="16" t="n"/>
      <c r="C161" s="16" t="n"/>
      <c r="D161" s="16" t="n"/>
      <c r="E161" s="17" t="n"/>
      <c r="F161" s="17" t="n"/>
      <c r="G161" s="17" t="n"/>
      <c r="H161" s="17" t="n"/>
      <c r="I161" s="17" t="n"/>
      <c r="J161" s="17" t="n"/>
      <c r="K161" s="17" t="n"/>
    </row>
    <row r="162">
      <c r="A162" s="16" t="n">
        <v>157</v>
      </c>
      <c r="B162" s="16" t="n"/>
      <c r="C162" s="16" t="n"/>
      <c r="D162" s="16" t="n"/>
      <c r="E162" s="17" t="n"/>
      <c r="F162" s="17" t="n"/>
      <c r="G162" s="17" t="n"/>
      <c r="H162" s="17" t="n"/>
      <c r="I162" s="17" t="n"/>
      <c r="J162" s="17" t="n"/>
      <c r="K162" s="17" t="n"/>
    </row>
    <row r="163">
      <c r="A163" s="16" t="n">
        <v>158</v>
      </c>
      <c r="B163" s="16" t="n"/>
      <c r="C163" s="16" t="n"/>
      <c r="D163" s="16" t="n"/>
      <c r="E163" s="17" t="n"/>
      <c r="F163" s="17" t="n"/>
      <c r="G163" s="17" t="n"/>
      <c r="H163" s="17" t="n"/>
      <c r="I163" s="17" t="n"/>
      <c r="J163" s="17" t="n"/>
      <c r="K163" s="17" t="n"/>
    </row>
    <row r="164">
      <c r="A164" s="16" t="n">
        <v>159</v>
      </c>
      <c r="B164" s="16" t="n"/>
      <c r="C164" s="16" t="n"/>
      <c r="D164" s="16" t="n"/>
      <c r="E164" s="17" t="n"/>
      <c r="F164" s="17" t="n"/>
      <c r="G164" s="17" t="n"/>
      <c r="H164" s="17" t="n"/>
      <c r="I164" s="17" t="n"/>
      <c r="J164" s="17" t="n"/>
      <c r="K164" s="17" t="n"/>
    </row>
    <row r="165">
      <c r="A165" s="16" t="n">
        <v>160</v>
      </c>
      <c r="B165" s="16" t="n"/>
      <c r="C165" s="16" t="n"/>
      <c r="D165" s="16" t="n"/>
      <c r="E165" s="17" t="n"/>
      <c r="F165" s="17" t="n"/>
      <c r="G165" s="17" t="n"/>
      <c r="H165" s="17" t="n"/>
      <c r="I165" s="17" t="n"/>
      <c r="J165" s="17" t="n"/>
      <c r="K165" s="17" t="n"/>
    </row>
    <row r="166">
      <c r="A166" s="16" t="n">
        <v>161</v>
      </c>
      <c r="B166" s="16" t="n"/>
      <c r="C166" s="16" t="n"/>
      <c r="D166" s="16" t="n"/>
      <c r="E166" s="17" t="n"/>
      <c r="F166" s="17" t="n"/>
      <c r="G166" s="17" t="n"/>
      <c r="H166" s="17" t="n"/>
      <c r="I166" s="17" t="n"/>
      <c r="J166" s="17" t="n"/>
      <c r="K166" s="17" t="n"/>
    </row>
    <row r="167">
      <c r="A167" s="16" t="n">
        <v>162</v>
      </c>
      <c r="B167" s="16" t="n"/>
      <c r="C167" s="16" t="n"/>
      <c r="D167" s="16" t="n"/>
      <c r="E167" s="17" t="n"/>
      <c r="F167" s="17" t="n"/>
      <c r="G167" s="17" t="n"/>
      <c r="H167" s="17" t="n"/>
      <c r="I167" s="17" t="n"/>
      <c r="J167" s="17" t="n"/>
      <c r="K167" s="17" t="n"/>
    </row>
    <row r="168">
      <c r="A168" s="16" t="n">
        <v>163</v>
      </c>
      <c r="B168" s="16" t="n"/>
      <c r="C168" s="16" t="n"/>
      <c r="D168" s="16" t="n"/>
      <c r="E168" s="17" t="n"/>
      <c r="F168" s="17" t="n"/>
      <c r="G168" s="17" t="n"/>
      <c r="H168" s="17" t="n"/>
      <c r="I168" s="17" t="n"/>
      <c r="J168" s="17" t="n"/>
      <c r="K168" s="17" t="n"/>
    </row>
    <row r="169">
      <c r="A169" s="16" t="n">
        <v>164</v>
      </c>
      <c r="B169" s="16" t="n"/>
      <c r="C169" s="16" t="n"/>
      <c r="D169" s="16" t="n"/>
      <c r="E169" s="17" t="n"/>
      <c r="F169" s="17" t="n"/>
      <c r="G169" s="17" t="n"/>
      <c r="H169" s="17" t="n"/>
      <c r="I169" s="17" t="n"/>
      <c r="J169" s="17" t="n"/>
      <c r="K169" s="17" t="n"/>
    </row>
    <row r="170">
      <c r="A170" s="16" t="n">
        <v>165</v>
      </c>
      <c r="B170" s="16" t="n"/>
      <c r="C170" s="16" t="n"/>
      <c r="D170" s="16" t="n"/>
      <c r="E170" s="17" t="n"/>
      <c r="F170" s="17" t="n"/>
      <c r="G170" s="17" t="n"/>
      <c r="H170" s="17" t="n"/>
      <c r="I170" s="17" t="n"/>
      <c r="J170" s="17" t="n"/>
      <c r="K170" s="17" t="n"/>
    </row>
    <row r="171">
      <c r="A171" s="16" t="n">
        <v>166</v>
      </c>
      <c r="B171" s="16" t="n"/>
      <c r="C171" s="16" t="n"/>
      <c r="D171" s="16" t="n"/>
      <c r="E171" s="17" t="n"/>
      <c r="F171" s="17" t="n"/>
      <c r="G171" s="17" t="n"/>
      <c r="H171" s="17" t="n"/>
      <c r="I171" s="17" t="n"/>
      <c r="J171" s="17" t="n"/>
      <c r="K171" s="17" t="n"/>
    </row>
    <row r="172">
      <c r="A172" s="16" t="n">
        <v>167</v>
      </c>
      <c r="B172" s="16" t="n"/>
      <c r="C172" s="16" t="n"/>
      <c r="D172" s="16" t="n"/>
      <c r="E172" s="17" t="n"/>
      <c r="F172" s="17" t="n"/>
      <c r="G172" s="17" t="n"/>
      <c r="H172" s="17" t="n"/>
      <c r="I172" s="17" t="n"/>
      <c r="J172" s="17" t="n"/>
      <c r="K172" s="17" t="n"/>
    </row>
    <row r="173">
      <c r="A173" s="16" t="n">
        <v>168</v>
      </c>
      <c r="B173" s="16" t="n"/>
      <c r="C173" s="16" t="n"/>
      <c r="D173" s="16" t="n"/>
      <c r="E173" s="17" t="n"/>
      <c r="F173" s="17" t="n"/>
      <c r="G173" s="17" t="n"/>
      <c r="H173" s="17" t="n"/>
      <c r="I173" s="17" t="n"/>
      <c r="J173" s="17" t="n"/>
      <c r="K173" s="17" t="n"/>
    </row>
    <row r="174">
      <c r="A174" s="16" t="n">
        <v>169</v>
      </c>
      <c r="B174" s="16" t="n"/>
      <c r="C174" s="16" t="n"/>
      <c r="D174" s="16" t="n"/>
      <c r="E174" s="17" t="n"/>
      <c r="F174" s="17" t="n"/>
      <c r="G174" s="17" t="n"/>
      <c r="H174" s="17" t="n"/>
      <c r="I174" s="17" t="n"/>
      <c r="J174" s="17" t="n"/>
      <c r="K174" s="17" t="n"/>
    </row>
    <row r="175">
      <c r="A175" s="16" t="n">
        <v>170</v>
      </c>
      <c r="B175" s="16" t="n"/>
      <c r="C175" s="16" t="n"/>
      <c r="D175" s="16" t="n"/>
      <c r="E175" s="17" t="n"/>
      <c r="F175" s="17" t="n"/>
      <c r="G175" s="17" t="n"/>
      <c r="H175" s="17" t="n"/>
      <c r="I175" s="17" t="n"/>
      <c r="J175" s="17" t="n"/>
      <c r="K175" s="17" t="n"/>
    </row>
    <row r="176">
      <c r="A176" s="16" t="n">
        <v>171</v>
      </c>
      <c r="B176" s="16" t="n"/>
      <c r="C176" s="16" t="n"/>
      <c r="D176" s="16" t="n"/>
      <c r="E176" s="17" t="n"/>
      <c r="F176" s="17" t="n"/>
      <c r="G176" s="17" t="n"/>
      <c r="H176" s="17" t="n"/>
      <c r="I176" s="17" t="n"/>
      <c r="J176" s="17" t="n"/>
      <c r="K176" s="17" t="n"/>
    </row>
    <row r="177">
      <c r="A177" s="16" t="n">
        <v>172</v>
      </c>
      <c r="B177" s="16" t="n"/>
      <c r="C177" s="16" t="n"/>
      <c r="D177" s="16" t="n"/>
      <c r="E177" s="17" t="n"/>
      <c r="F177" s="17" t="n"/>
      <c r="G177" s="17" t="n"/>
      <c r="H177" s="17" t="n"/>
      <c r="I177" s="17" t="n"/>
      <c r="J177" s="17" t="n"/>
      <c r="K177" s="17" t="n"/>
    </row>
    <row r="178">
      <c r="A178" s="16" t="n">
        <v>173</v>
      </c>
      <c r="B178" s="16" t="n"/>
      <c r="C178" s="16" t="n"/>
      <c r="D178" s="16" t="n"/>
      <c r="E178" s="17" t="n"/>
      <c r="F178" s="17" t="n"/>
      <c r="G178" s="17" t="n"/>
      <c r="H178" s="17" t="n"/>
      <c r="I178" s="17" t="n"/>
      <c r="J178" s="17" t="n"/>
      <c r="K178" s="17" t="n"/>
    </row>
    <row r="179">
      <c r="A179" s="16" t="n">
        <v>174</v>
      </c>
      <c r="B179" s="16" t="n"/>
      <c r="C179" s="16" t="n"/>
      <c r="D179" s="16" t="n"/>
      <c r="E179" s="17" t="n"/>
      <c r="F179" s="17" t="n"/>
      <c r="G179" s="17" t="n"/>
      <c r="H179" s="17" t="n"/>
      <c r="I179" s="17" t="n"/>
      <c r="J179" s="17" t="n"/>
      <c r="K179" s="17" t="n"/>
    </row>
    <row r="180">
      <c r="A180" s="16" t="n">
        <v>175</v>
      </c>
      <c r="B180" s="16" t="n"/>
      <c r="C180" s="16" t="n"/>
      <c r="D180" s="16" t="n"/>
      <c r="E180" s="17" t="n"/>
      <c r="F180" s="17" t="n"/>
      <c r="G180" s="17" t="n"/>
      <c r="H180" s="17" t="n"/>
      <c r="I180" s="17" t="n"/>
      <c r="J180" s="17" t="n"/>
      <c r="K180" s="17" t="n"/>
    </row>
    <row r="181">
      <c r="A181" s="16" t="n">
        <v>176</v>
      </c>
      <c r="B181" s="16" t="n"/>
      <c r="C181" s="16" t="n"/>
      <c r="D181" s="16" t="n"/>
      <c r="E181" s="17" t="n"/>
      <c r="F181" s="17" t="n"/>
      <c r="G181" s="17" t="n"/>
      <c r="H181" s="17" t="n"/>
      <c r="I181" s="17" t="n"/>
      <c r="J181" s="17" t="n"/>
      <c r="K181" s="17" t="n"/>
    </row>
    <row r="182">
      <c r="A182" s="16" t="n">
        <v>177</v>
      </c>
      <c r="B182" s="16" t="n"/>
      <c r="C182" s="16" t="n"/>
      <c r="D182" s="16" t="n"/>
      <c r="E182" s="17" t="n"/>
      <c r="F182" s="17" t="n"/>
      <c r="G182" s="17" t="n"/>
      <c r="H182" s="17" t="n"/>
      <c r="I182" s="17" t="n"/>
      <c r="J182" s="17" t="n"/>
      <c r="K182" s="17" t="n"/>
    </row>
    <row r="183">
      <c r="A183" s="16" t="n">
        <v>178</v>
      </c>
      <c r="B183" s="16" t="n"/>
      <c r="C183" s="16" t="n"/>
      <c r="D183" s="16" t="n"/>
      <c r="E183" s="17" t="n"/>
      <c r="F183" s="17" t="n"/>
      <c r="G183" s="17" t="n"/>
      <c r="H183" s="17" t="n"/>
      <c r="I183" s="17" t="n"/>
      <c r="J183" s="17" t="n"/>
      <c r="K183" s="17" t="n"/>
    </row>
    <row r="184">
      <c r="A184" s="16" t="n">
        <v>179</v>
      </c>
      <c r="B184" s="16" t="n"/>
      <c r="C184" s="16" t="n"/>
      <c r="D184" s="16" t="n"/>
      <c r="E184" s="17" t="n"/>
      <c r="F184" s="17" t="n"/>
      <c r="G184" s="17" t="n"/>
      <c r="H184" s="17" t="n"/>
      <c r="I184" s="17" t="n"/>
      <c r="J184" s="17" t="n"/>
      <c r="K184" s="17" t="n"/>
    </row>
    <row r="185">
      <c r="A185" s="16" t="n">
        <v>180</v>
      </c>
      <c r="B185" s="16" t="n"/>
      <c r="C185" s="16" t="n"/>
      <c r="D185" s="16" t="n"/>
      <c r="E185" s="17" t="n"/>
      <c r="F185" s="17" t="n"/>
      <c r="G185" s="17" t="n"/>
      <c r="H185" s="17" t="n"/>
      <c r="I185" s="17" t="n"/>
      <c r="J185" s="17" t="n"/>
      <c r="K185" s="17" t="n"/>
    </row>
    <row r="186">
      <c r="A186" s="16" t="n">
        <v>181</v>
      </c>
      <c r="B186" s="16" t="n"/>
      <c r="C186" s="16" t="n"/>
      <c r="D186" s="16" t="n"/>
      <c r="E186" s="17" t="n"/>
      <c r="F186" s="17" t="n"/>
      <c r="G186" s="17" t="n"/>
      <c r="H186" s="17" t="n"/>
      <c r="I186" s="17" t="n"/>
      <c r="J186" s="17" t="n"/>
      <c r="K186" s="17" t="n"/>
    </row>
    <row r="187">
      <c r="A187" s="16" t="n">
        <v>182</v>
      </c>
      <c r="B187" s="16" t="n"/>
      <c r="C187" s="16" t="n"/>
      <c r="D187" s="16" t="n"/>
      <c r="E187" s="17" t="n"/>
      <c r="F187" s="17" t="n"/>
      <c r="G187" s="17" t="n"/>
      <c r="H187" s="17" t="n"/>
      <c r="I187" s="17" t="n"/>
      <c r="J187" s="17" t="n"/>
      <c r="K187" s="17" t="n"/>
    </row>
    <row r="188">
      <c r="A188" s="16" t="n">
        <v>183</v>
      </c>
      <c r="B188" s="16" t="n"/>
      <c r="C188" s="16" t="n"/>
      <c r="D188" s="16" t="n"/>
      <c r="E188" s="17" t="n"/>
      <c r="F188" s="17" t="n"/>
      <c r="G188" s="17" t="n"/>
      <c r="H188" s="17" t="n"/>
      <c r="I188" s="17" t="n"/>
      <c r="J188" s="17" t="n"/>
      <c r="K188" s="17" t="n"/>
    </row>
    <row r="189">
      <c r="A189" s="16" t="n">
        <v>184</v>
      </c>
      <c r="B189" s="16" t="n"/>
      <c r="C189" s="16" t="n"/>
      <c r="D189" s="16" t="n"/>
      <c r="E189" s="17" t="n"/>
      <c r="F189" s="17" t="n"/>
      <c r="G189" s="17" t="n"/>
      <c r="H189" s="17" t="n"/>
      <c r="I189" s="17" t="n"/>
      <c r="J189" s="17" t="n"/>
      <c r="K189" s="17" t="n"/>
    </row>
    <row r="190">
      <c r="A190" s="16" t="n">
        <v>185</v>
      </c>
      <c r="B190" s="16" t="n"/>
      <c r="C190" s="16" t="n"/>
      <c r="D190" s="16" t="n"/>
      <c r="E190" s="17" t="n"/>
      <c r="F190" s="17" t="n"/>
      <c r="G190" s="17" t="n"/>
      <c r="H190" s="17" t="n"/>
      <c r="I190" s="17" t="n"/>
      <c r="J190" s="17" t="n"/>
      <c r="K190" s="17" t="n"/>
    </row>
    <row r="191">
      <c r="A191" s="16" t="n">
        <v>186</v>
      </c>
      <c r="B191" s="16" t="n"/>
      <c r="C191" s="16" t="n"/>
      <c r="D191" s="16" t="n"/>
      <c r="E191" s="17" t="n"/>
      <c r="F191" s="17" t="n"/>
      <c r="G191" s="17" t="n"/>
      <c r="H191" s="17" t="n"/>
      <c r="I191" s="17" t="n"/>
      <c r="J191" s="17" t="n"/>
      <c r="K191" s="17" t="n"/>
    </row>
    <row r="192">
      <c r="A192" s="16" t="n">
        <v>187</v>
      </c>
      <c r="B192" s="16" t="n"/>
      <c r="C192" s="16" t="n"/>
      <c r="D192" s="16" t="n"/>
      <c r="E192" s="17" t="n"/>
      <c r="F192" s="17" t="n"/>
      <c r="G192" s="17" t="n"/>
      <c r="H192" s="17" t="n"/>
      <c r="I192" s="17" t="n"/>
      <c r="J192" s="17" t="n"/>
      <c r="K192" s="17" t="n"/>
    </row>
    <row r="193">
      <c r="A193" s="16" t="n">
        <v>188</v>
      </c>
      <c r="B193" s="16" t="n"/>
      <c r="C193" s="16" t="n"/>
      <c r="D193" s="16" t="n"/>
      <c r="E193" s="17" t="n"/>
      <c r="F193" s="17" t="n"/>
      <c r="G193" s="17" t="n"/>
      <c r="H193" s="17" t="n"/>
      <c r="I193" s="17" t="n"/>
      <c r="J193" s="17" t="n"/>
      <c r="K193" s="17" t="n"/>
    </row>
    <row r="194">
      <c r="A194" s="16" t="n">
        <v>189</v>
      </c>
      <c r="B194" s="16" t="n"/>
      <c r="C194" s="16" t="n"/>
      <c r="D194" s="16" t="n"/>
      <c r="E194" s="17" t="n"/>
      <c r="F194" s="17" t="n"/>
      <c r="G194" s="17" t="n"/>
      <c r="H194" s="17" t="n"/>
      <c r="I194" s="17" t="n"/>
      <c r="J194" s="17" t="n"/>
      <c r="K194" s="17" t="n"/>
    </row>
    <row r="195">
      <c r="A195" s="16" t="n">
        <v>190</v>
      </c>
      <c r="B195" s="16" t="n"/>
      <c r="C195" s="16" t="n"/>
      <c r="D195" s="16" t="n"/>
      <c r="E195" s="17" t="n"/>
      <c r="F195" s="17" t="n"/>
      <c r="G195" s="17" t="n"/>
      <c r="H195" s="17" t="n"/>
      <c r="I195" s="17" t="n"/>
      <c r="J195" s="17" t="n"/>
      <c r="K195" s="17" t="n"/>
    </row>
    <row r="196">
      <c r="A196" s="16" t="n">
        <v>191</v>
      </c>
      <c r="B196" s="16" t="n"/>
      <c r="C196" s="16" t="n"/>
      <c r="D196" s="16" t="n"/>
      <c r="E196" s="17" t="n"/>
      <c r="F196" s="17" t="n"/>
      <c r="G196" s="17" t="n"/>
      <c r="H196" s="17" t="n"/>
      <c r="I196" s="17" t="n"/>
      <c r="J196" s="17" t="n"/>
      <c r="K196" s="17" t="n"/>
    </row>
    <row r="197">
      <c r="A197" s="16" t="n">
        <v>192</v>
      </c>
      <c r="B197" s="16" t="n"/>
      <c r="C197" s="16" t="n"/>
      <c r="D197" s="16" t="n"/>
      <c r="E197" s="17" t="n"/>
      <c r="F197" s="17" t="n"/>
      <c r="G197" s="17" t="n"/>
      <c r="H197" s="17" t="n"/>
      <c r="I197" s="17" t="n"/>
      <c r="J197" s="17" t="n"/>
      <c r="K197" s="17" t="n"/>
    </row>
    <row r="198">
      <c r="A198" s="16" t="n">
        <v>193</v>
      </c>
      <c r="B198" s="16" t="n"/>
      <c r="C198" s="16" t="n"/>
      <c r="D198" s="16" t="n"/>
      <c r="E198" s="17" t="n"/>
      <c r="F198" s="17" t="n"/>
      <c r="G198" s="17" t="n"/>
      <c r="H198" s="17" t="n"/>
      <c r="I198" s="17" t="n"/>
      <c r="J198" s="17" t="n"/>
      <c r="K198" s="17" t="n"/>
    </row>
    <row r="199">
      <c r="A199" s="16" t="n">
        <v>194</v>
      </c>
      <c r="B199" s="16" t="n"/>
      <c r="C199" s="16" t="n"/>
      <c r="D199" s="16" t="n"/>
      <c r="E199" s="17" t="n"/>
      <c r="F199" s="17" t="n"/>
      <c r="G199" s="17" t="n"/>
      <c r="H199" s="17" t="n"/>
      <c r="I199" s="17" t="n"/>
      <c r="J199" s="17" t="n"/>
      <c r="K199" s="17" t="n"/>
    </row>
    <row r="200">
      <c r="A200" s="16" t="n">
        <v>195</v>
      </c>
      <c r="B200" s="16" t="n"/>
      <c r="C200" s="16" t="n"/>
      <c r="D200" s="16" t="n"/>
      <c r="E200" s="17" t="n"/>
      <c r="F200" s="17" t="n"/>
      <c r="G200" s="17" t="n"/>
      <c r="H200" s="17" t="n"/>
      <c r="I200" s="17" t="n"/>
      <c r="J200" s="17" t="n"/>
      <c r="K200" s="17" t="n"/>
    </row>
    <row r="201">
      <c r="A201" s="16" t="n">
        <v>196</v>
      </c>
      <c r="B201" s="16" t="n"/>
      <c r="C201" s="16" t="n"/>
      <c r="D201" s="16" t="n"/>
      <c r="E201" s="17" t="n"/>
      <c r="F201" s="17" t="n"/>
      <c r="G201" s="17" t="n"/>
      <c r="H201" s="17" t="n"/>
      <c r="I201" s="17" t="n"/>
      <c r="J201" s="17" t="n"/>
      <c r="K201" s="17" t="n"/>
    </row>
    <row r="202">
      <c r="A202" s="16" t="n">
        <v>197</v>
      </c>
      <c r="B202" s="16" t="n"/>
      <c r="C202" s="16" t="n"/>
      <c r="D202" s="16" t="n"/>
      <c r="E202" s="17" t="n"/>
      <c r="F202" s="17" t="n"/>
      <c r="G202" s="17" t="n"/>
      <c r="H202" s="17" t="n"/>
      <c r="I202" s="17" t="n"/>
      <c r="J202" s="17" t="n"/>
      <c r="K202" s="17" t="n"/>
    </row>
    <row r="203">
      <c r="A203" s="16" t="n">
        <v>198</v>
      </c>
      <c r="B203" s="16" t="n"/>
      <c r="C203" s="16" t="n"/>
      <c r="D203" s="16" t="n"/>
      <c r="E203" s="17" t="n"/>
      <c r="F203" s="17" t="n"/>
      <c r="G203" s="17" t="n"/>
      <c r="H203" s="17" t="n"/>
      <c r="I203" s="17" t="n"/>
      <c r="J203" s="17" t="n"/>
      <c r="K203" s="17" t="n"/>
    </row>
    <row r="204">
      <c r="A204" s="16" t="n">
        <v>199</v>
      </c>
      <c r="B204" s="16" t="n"/>
      <c r="C204" s="16" t="n"/>
      <c r="D204" s="16" t="n"/>
      <c r="E204" s="17" t="n"/>
      <c r="F204" s="17" t="n"/>
      <c r="G204" s="17" t="n"/>
      <c r="H204" s="17" t="n"/>
      <c r="I204" s="17" t="n"/>
      <c r="J204" s="17" t="n"/>
      <c r="K204" s="17" t="n"/>
    </row>
    <row r="205">
      <c r="A205" s="16" t="n">
        <v>200</v>
      </c>
      <c r="B205" s="16" t="n"/>
      <c r="C205" s="16" t="n"/>
      <c r="D205" s="16" t="n"/>
      <c r="E205" s="17" t="n"/>
      <c r="F205" s="17" t="n"/>
      <c r="G205" s="17" t="n"/>
      <c r="H205" s="17" t="n"/>
      <c r="I205" s="17" t="n"/>
      <c r="J205" s="17" t="n"/>
      <c r="K205" s="17" t="n"/>
    </row>
  </sheetData>
  <dataValidations count="1">
    <dataValidation sqref="E6:K205" showDropDown="0" showInputMessage="0" showErrorMessage="1" allowBlank="1" errorTitle="Use 1 to 5" error="Enter the weight the respondent ticked: 5 Strongly Agree down to 1 Strongly Disagree."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showGridLines="0" workbookViewId="0">
      <pane ySplit="4" topLeftCell="A5" activePane="bottomLeft" state="frozen"/>
      <selection pane="bottomLeft" activeCell="A1" sqref="A1"/>
    </sheetView>
  </sheetViews>
  <sheetFormatPr baseColWidth="8" defaultRowHeight="15"/>
  <cols>
    <col width="4" customWidth="1" min="1" max="1"/>
    <col width="58" customWidth="1" min="2" max="2"/>
    <col width="7" customWidth="1" min="3" max="3"/>
    <col width="7" customWidth="1" min="4" max="4"/>
    <col width="7" customWidth="1" min="5" max="5"/>
    <col width="7" customWidth="1" min="6" max="6"/>
    <col width="7" customWidth="1" min="7" max="7"/>
    <col width="8" customWidth="1" min="8" max="8"/>
    <col width="15" customWidth="1" min="9" max="9"/>
    <col width="20" customWidth="1" min="10" max="10"/>
  </cols>
  <sheetData>
    <row r="1">
      <c r="A1" s="10" t="inlineStr">
        <is>
          <t>Tally - Passenger</t>
        </is>
      </c>
    </row>
    <row r="2">
      <c r="A2" s="11" t="inlineStr">
        <is>
          <t>Every figure is a formula reading 'Passenger Responses' rows 6-205. Nothing on this sheet needs typing.</t>
        </is>
      </c>
    </row>
    <row r="4" ht="26" customHeight="1">
      <c r="A4" s="18" t="inlineStr">
        <is>
          <t>#</t>
        </is>
      </c>
      <c r="B4" s="18" t="inlineStr">
        <is>
          <t>Indicator</t>
        </is>
      </c>
      <c r="C4" s="18" t="inlineStr">
        <is>
          <t>5</t>
        </is>
      </c>
      <c r="D4" s="18" t="inlineStr">
        <is>
          <t>4</t>
        </is>
      </c>
      <c r="E4" s="18" t="inlineStr">
        <is>
          <t>3</t>
        </is>
      </c>
      <c r="F4" s="18" t="inlineStr">
        <is>
          <t>2</t>
        </is>
      </c>
      <c r="G4" s="18" t="inlineStr">
        <is>
          <t>1</t>
        </is>
      </c>
      <c r="H4" s="18" t="inlineStr">
        <is>
          <t>N</t>
        </is>
      </c>
      <c r="I4" s="18" t="inlineStr">
        <is>
          <t>Weighted Mean</t>
        </is>
      </c>
      <c r="J4" s="18" t="inlineStr">
        <is>
          <t>Interpretation</t>
        </is>
      </c>
    </row>
    <row r="5">
      <c r="A5" s="19" t="inlineStr">
        <is>
          <t>A. Functional Suitability</t>
        </is>
      </c>
      <c r="B5" s="20" t="n"/>
      <c r="C5" s="20" t="n"/>
      <c r="D5" s="20" t="n"/>
      <c r="E5" s="20" t="n"/>
      <c r="F5" s="20" t="n"/>
      <c r="G5" s="20" t="n"/>
      <c r="H5" s="20" t="n"/>
      <c r="I5" s="20" t="n"/>
      <c r="J5" s="21" t="n"/>
    </row>
    <row r="6">
      <c r="A6" s="22" t="n">
        <v>1</v>
      </c>
      <c r="B6" s="23" t="inlineStr">
        <is>
          <t>The ride booking feature works as expected.</t>
        </is>
      </c>
      <c r="C6" s="22">
        <f>COUNTIF('Passenger Responses'!$I$6:$I$205,5)</f>
        <v/>
      </c>
      <c r="D6" s="22">
        <f>COUNTIF('Passenger Responses'!$I$6:$I$205,4)</f>
        <v/>
      </c>
      <c r="E6" s="22">
        <f>COUNTIF('Passenger Responses'!$I$6:$I$205,3)</f>
        <v/>
      </c>
      <c r="F6" s="22">
        <f>COUNTIF('Passenger Responses'!$I$6:$I$205,2)</f>
        <v/>
      </c>
      <c r="G6" s="22">
        <f>COUNTIF('Passenger Responses'!$I$6:$I$205,1)</f>
        <v/>
      </c>
      <c r="H6" s="22">
        <f>COUNT('Passenger Responses'!$I$6:$I$205)</f>
        <v/>
      </c>
      <c r="I6" s="24">
        <f>IF(H6=0,"",(C6*5+D6*4+E6*3+F6*2+G6*1)/H6)</f>
        <v/>
      </c>
      <c r="J6" s="22">
        <f>IF(I6="","",IF(I6&gt;=4.21,"Strongly Agree",IF(I6&gt;=3.41,"Agree",IF(I6&gt;=2.61,"Neutral",IF(I6&gt;=1.81,"Disagree","Strongly Disagree")))))</f>
        <v/>
      </c>
    </row>
    <row r="7">
      <c r="A7" s="22" t="n">
        <v>2</v>
      </c>
      <c r="B7" s="23" t="inlineStr">
        <is>
          <t>I receive timely notifications about my ride status.</t>
        </is>
      </c>
      <c r="C7" s="22">
        <f>COUNTIF('Passenger Responses'!$J$6:$J$205,5)</f>
        <v/>
      </c>
      <c r="D7" s="22">
        <f>COUNTIF('Passenger Responses'!$J$6:$J$205,4)</f>
        <v/>
      </c>
      <c r="E7" s="22">
        <f>COUNTIF('Passenger Responses'!$J$6:$J$205,3)</f>
        <v/>
      </c>
      <c r="F7" s="22">
        <f>COUNTIF('Passenger Responses'!$J$6:$J$205,2)</f>
        <v/>
      </c>
      <c r="G7" s="22">
        <f>COUNTIF('Passenger Responses'!$J$6:$J$205,1)</f>
        <v/>
      </c>
      <c r="H7" s="22">
        <f>COUNT('Passenger Responses'!$J$6:$J$205)</f>
        <v/>
      </c>
      <c r="I7" s="24">
        <f>IF(H7=0,"",(C7*5+D7*4+E7*3+F7*2+G7*1)/H7)</f>
        <v/>
      </c>
      <c r="J7" s="22">
        <f>IF(I7="","",IF(I7&gt;=4.21,"Strongly Agree",IF(I7&gt;=3.41,"Agree",IF(I7&gt;=2.61,"Neutral",IF(I7&gt;=1.81,"Disagree","Strongly Disagree")))))</f>
        <v/>
      </c>
    </row>
    <row r="8">
      <c r="A8" s="22" t="n">
        <v>3</v>
      </c>
      <c r="B8" s="23" t="inlineStr">
        <is>
          <t>The system accurately matches me with an available driver.</t>
        </is>
      </c>
      <c r="C8" s="22">
        <f>COUNTIF('Passenger Responses'!$K$6:$K$205,5)</f>
        <v/>
      </c>
      <c r="D8" s="22">
        <f>COUNTIF('Passenger Responses'!$K$6:$K$205,4)</f>
        <v/>
      </c>
      <c r="E8" s="22">
        <f>COUNTIF('Passenger Responses'!$K$6:$K$205,3)</f>
        <v/>
      </c>
      <c r="F8" s="22">
        <f>COUNTIF('Passenger Responses'!$K$6:$K$205,2)</f>
        <v/>
      </c>
      <c r="G8" s="22">
        <f>COUNTIF('Passenger Responses'!$K$6:$K$205,1)</f>
        <v/>
      </c>
      <c r="H8" s="22">
        <f>COUNT('Passenger Responses'!$K$6:$K$205)</f>
        <v/>
      </c>
      <c r="I8" s="24">
        <f>IF(H8=0,"",(C8*5+D8*4+E8*3+F8*2+G8*1)/H8)</f>
        <v/>
      </c>
      <c r="J8" s="22">
        <f>IF(I8="","",IF(I8&gt;=4.21,"Strongly Agree",IF(I8&gt;=3.41,"Agree",IF(I8&gt;=2.61,"Neutral",IF(I8&gt;=1.81,"Disagree","Strongly Disagree")))))</f>
        <v/>
      </c>
    </row>
    <row r="9">
      <c r="A9" s="22" t="n">
        <v>4</v>
      </c>
      <c r="B9" s="23" t="inlineStr">
        <is>
          <t>I can view the status of my booking in real time.</t>
        </is>
      </c>
      <c r="C9" s="22">
        <f>COUNTIF('Passenger Responses'!$L$6:$L$205,5)</f>
        <v/>
      </c>
      <c r="D9" s="22">
        <f>COUNTIF('Passenger Responses'!$L$6:$L$205,4)</f>
        <v/>
      </c>
      <c r="E9" s="22">
        <f>COUNTIF('Passenger Responses'!$L$6:$L$205,3)</f>
        <v/>
      </c>
      <c r="F9" s="22">
        <f>COUNTIF('Passenger Responses'!$L$6:$L$205,2)</f>
        <v/>
      </c>
      <c r="G9" s="22">
        <f>COUNTIF('Passenger Responses'!$L$6:$L$205,1)</f>
        <v/>
      </c>
      <c r="H9" s="22">
        <f>COUNT('Passenger Responses'!$L$6:$L$205)</f>
        <v/>
      </c>
      <c r="I9" s="24">
        <f>IF(H9=0,"",(C9*5+D9*4+E9*3+F9*2+G9*1)/H9)</f>
        <v/>
      </c>
      <c r="J9" s="22">
        <f>IF(I9="","",IF(I9&gt;=4.21,"Strongly Agree",IF(I9&gt;=3.41,"Agree",IF(I9&gt;=2.61,"Neutral",IF(I9&gt;=1.81,"Disagree","Strongly Disagree")))))</f>
        <v/>
      </c>
    </row>
    <row r="10">
      <c r="A10" s="22" t="n">
        <v>5</v>
      </c>
      <c r="B10" s="23" t="inlineStr">
        <is>
          <t>The system performs all its intended functions correctly.</t>
        </is>
      </c>
      <c r="C10" s="22">
        <f>COUNTIF('Passenger Responses'!$M$6:$M$205,5)</f>
        <v/>
      </c>
      <c r="D10" s="22">
        <f>COUNTIF('Passenger Responses'!$M$6:$M$205,4)</f>
        <v/>
      </c>
      <c r="E10" s="22">
        <f>COUNTIF('Passenger Responses'!$M$6:$M$205,3)</f>
        <v/>
      </c>
      <c r="F10" s="22">
        <f>COUNTIF('Passenger Responses'!$M$6:$M$205,2)</f>
        <v/>
      </c>
      <c r="G10" s="22">
        <f>COUNTIF('Passenger Responses'!$M$6:$M$205,1)</f>
        <v/>
      </c>
      <c r="H10" s="22">
        <f>COUNT('Passenger Responses'!$M$6:$M$205)</f>
        <v/>
      </c>
      <c r="I10" s="24">
        <f>IF(H10=0,"",(C10*5+D10*4+E10*3+F10*2+G10*1)/H10)</f>
        <v/>
      </c>
      <c r="J10" s="22">
        <f>IF(I10="","",IF(I10&gt;=4.21,"Strongly Agree",IF(I10&gt;=3.41,"Agree",IF(I10&gt;=2.61,"Neutral",IF(I10&gt;=1.81,"Disagree","Strongly Disagree")))))</f>
        <v/>
      </c>
    </row>
    <row r="11">
      <c r="A11" s="22" t="n">
        <v>6</v>
      </c>
      <c r="B11" s="23" t="inlineStr">
        <is>
          <t>The fare displayed is accurate.</t>
        </is>
      </c>
      <c r="C11" s="22">
        <f>COUNTIF('Passenger Responses'!$N$6:$N$205,5)</f>
        <v/>
      </c>
      <c r="D11" s="22">
        <f>COUNTIF('Passenger Responses'!$N$6:$N$205,4)</f>
        <v/>
      </c>
      <c r="E11" s="22">
        <f>COUNTIF('Passenger Responses'!$N$6:$N$205,3)</f>
        <v/>
      </c>
      <c r="F11" s="22">
        <f>COUNTIF('Passenger Responses'!$N$6:$N$205,2)</f>
        <v/>
      </c>
      <c r="G11" s="22">
        <f>COUNTIF('Passenger Responses'!$N$6:$N$205,1)</f>
        <v/>
      </c>
      <c r="H11" s="22">
        <f>COUNT('Passenger Responses'!$N$6:$N$205)</f>
        <v/>
      </c>
      <c r="I11" s="24">
        <f>IF(H11=0,"",(C11*5+D11*4+E11*3+F11*2+G11*1)/H11)</f>
        <v/>
      </c>
      <c r="J11" s="22">
        <f>IF(I11="","",IF(I11&gt;=4.21,"Strongly Agree",IF(I11&gt;=3.41,"Agree",IF(I11&gt;=2.61,"Neutral",IF(I11&gt;=1.81,"Disagree","Strongly Disagree")))))</f>
        <v/>
      </c>
    </row>
    <row r="12">
      <c r="A12" s="22" t="n">
        <v>7</v>
      </c>
      <c r="B12" s="23" t="inlineStr">
        <is>
          <t>Driver information is correctly displayed.</t>
        </is>
      </c>
      <c r="C12" s="22">
        <f>COUNTIF('Passenger Responses'!$O$6:$O$205,5)</f>
        <v/>
      </c>
      <c r="D12" s="22">
        <f>COUNTIF('Passenger Responses'!$O$6:$O$205,4)</f>
        <v/>
      </c>
      <c r="E12" s="22">
        <f>COUNTIF('Passenger Responses'!$O$6:$O$205,3)</f>
        <v/>
      </c>
      <c r="F12" s="22">
        <f>COUNTIF('Passenger Responses'!$O$6:$O$205,2)</f>
        <v/>
      </c>
      <c r="G12" s="22">
        <f>COUNTIF('Passenger Responses'!$O$6:$O$205,1)</f>
        <v/>
      </c>
      <c r="H12" s="22">
        <f>COUNT('Passenger Responses'!$O$6:$O$205)</f>
        <v/>
      </c>
      <c r="I12" s="24">
        <f>IF(H12=0,"",(C12*5+D12*4+E12*3+F12*2+G12*1)/H12)</f>
        <v/>
      </c>
      <c r="J12" s="22">
        <f>IF(I12="","",IF(I12&gt;=4.21,"Strongly Agree",IF(I12&gt;=3.41,"Agree",IF(I12&gt;=2.61,"Neutral",IF(I12&gt;=1.81,"Disagree","Strongly Disagree")))))</f>
        <v/>
      </c>
    </row>
    <row r="13">
      <c r="A13" s="22" t="n">
        <v>8</v>
      </c>
      <c r="B13" s="23" t="inlineStr">
        <is>
          <t>Ride history is properly recorded.</t>
        </is>
      </c>
      <c r="C13" s="22">
        <f>COUNTIF('Passenger Responses'!$P$6:$P$205,5)</f>
        <v/>
      </c>
      <c r="D13" s="22">
        <f>COUNTIF('Passenger Responses'!$P$6:$P$205,4)</f>
        <v/>
      </c>
      <c r="E13" s="22">
        <f>COUNTIF('Passenger Responses'!$P$6:$P$205,3)</f>
        <v/>
      </c>
      <c r="F13" s="22">
        <f>COUNTIF('Passenger Responses'!$P$6:$P$205,2)</f>
        <v/>
      </c>
      <c r="G13" s="22">
        <f>COUNTIF('Passenger Responses'!$P$6:$P$205,1)</f>
        <v/>
      </c>
      <c r="H13" s="22">
        <f>COUNT('Passenger Responses'!$P$6:$P$205)</f>
        <v/>
      </c>
      <c r="I13" s="24">
        <f>IF(H13=0,"",(C13*5+D13*4+E13*3+F13*2+G13*1)/H13)</f>
        <v/>
      </c>
      <c r="J13" s="22">
        <f>IF(I13="","",IF(I13&gt;=4.21,"Strongly Agree",IF(I13&gt;=3.41,"Agree",IF(I13&gt;=2.61,"Neutral",IF(I13&gt;=1.81,"Disagree","Strongly Disagree")))))</f>
        <v/>
      </c>
    </row>
    <row r="14">
      <c r="A14" s="25" t="n"/>
      <c r="B14" s="26" t="inlineStr">
        <is>
          <t>Category mean — A. Functional Suitability</t>
        </is>
      </c>
      <c r="C14" s="27" t="n"/>
      <c r="D14" s="27" t="n"/>
      <c r="E14" s="27" t="n"/>
      <c r="F14" s="27" t="n"/>
      <c r="G14" s="27" t="n"/>
      <c r="H14" s="27" t="n"/>
      <c r="I14" s="28">
        <f>IFERROR(AVERAGE(I6:I13),"")</f>
        <v/>
      </c>
      <c r="J14" s="29">
        <f>IF(I14="","",IF(I14&gt;=4.21,"Strongly Agree",IF(I14&gt;=3.41,"Agree",IF(I14&gt;=2.61,"Neutral",IF(I14&gt;=1.81,"Disagree","Strongly Disagree")))))</f>
        <v/>
      </c>
    </row>
    <row r="16">
      <c r="A16" s="19" t="inlineStr">
        <is>
          <t>B. Usability</t>
        </is>
      </c>
      <c r="B16" s="20" t="n"/>
      <c r="C16" s="20" t="n"/>
      <c r="D16" s="20" t="n"/>
      <c r="E16" s="20" t="n"/>
      <c r="F16" s="20" t="n"/>
      <c r="G16" s="20" t="n"/>
      <c r="H16" s="20" t="n"/>
      <c r="I16" s="20" t="n"/>
      <c r="J16" s="21" t="n"/>
    </row>
    <row r="17">
      <c r="A17" s="22" t="n">
        <v>1</v>
      </c>
      <c r="B17" s="23" t="inlineStr">
        <is>
          <t>The system is easy to learn.</t>
        </is>
      </c>
      <c r="C17" s="22">
        <f>COUNTIF('Passenger Responses'!$Q$6:$Q$205,5)</f>
        <v/>
      </c>
      <c r="D17" s="22">
        <f>COUNTIF('Passenger Responses'!$Q$6:$Q$205,4)</f>
        <v/>
      </c>
      <c r="E17" s="22">
        <f>COUNTIF('Passenger Responses'!$Q$6:$Q$205,3)</f>
        <v/>
      </c>
      <c r="F17" s="22">
        <f>COUNTIF('Passenger Responses'!$Q$6:$Q$205,2)</f>
        <v/>
      </c>
      <c r="G17" s="22">
        <f>COUNTIF('Passenger Responses'!$Q$6:$Q$205,1)</f>
        <v/>
      </c>
      <c r="H17" s="22">
        <f>COUNT('Passenger Responses'!$Q$6:$Q$205)</f>
        <v/>
      </c>
      <c r="I17" s="24">
        <f>IF(H17=0,"",(C17*5+D17*4+E17*3+F17*2+G17*1)/H17)</f>
        <v/>
      </c>
      <c r="J17" s="22">
        <f>IF(I17="","",IF(I17&gt;=4.21,"Strongly Agree",IF(I17&gt;=3.41,"Agree",IF(I17&gt;=2.61,"Neutral",IF(I17&gt;=1.81,"Disagree","Strongly Disagree")))))</f>
        <v/>
      </c>
    </row>
    <row r="18">
      <c r="A18" s="22" t="n">
        <v>2</v>
      </c>
      <c r="B18" s="23" t="inlineStr">
        <is>
          <t>The menus are easy to understand.</t>
        </is>
      </c>
      <c r="C18" s="22">
        <f>COUNTIF('Passenger Responses'!$R$6:$R$205,5)</f>
        <v/>
      </c>
      <c r="D18" s="22">
        <f>COUNTIF('Passenger Responses'!$R$6:$R$205,4)</f>
        <v/>
      </c>
      <c r="E18" s="22">
        <f>COUNTIF('Passenger Responses'!$R$6:$R$205,3)</f>
        <v/>
      </c>
      <c r="F18" s="22">
        <f>COUNTIF('Passenger Responses'!$R$6:$R$205,2)</f>
        <v/>
      </c>
      <c r="G18" s="22">
        <f>COUNTIF('Passenger Responses'!$R$6:$R$205,1)</f>
        <v/>
      </c>
      <c r="H18" s="22">
        <f>COUNT('Passenger Responses'!$R$6:$R$205)</f>
        <v/>
      </c>
      <c r="I18" s="24">
        <f>IF(H18=0,"",(C18*5+D18*4+E18*3+F18*2+G18*1)/H18)</f>
        <v/>
      </c>
      <c r="J18" s="22">
        <f>IF(I18="","",IF(I18&gt;=4.21,"Strongly Agree",IF(I18&gt;=3.41,"Agree",IF(I18&gt;=2.61,"Neutral",IF(I18&gt;=1.81,"Disagree","Strongly Disagree")))))</f>
        <v/>
      </c>
    </row>
    <row r="19">
      <c r="A19" s="22" t="n">
        <v>3</v>
      </c>
      <c r="B19" s="23" t="inlineStr">
        <is>
          <t>Icons and buttons are properly labeled.</t>
        </is>
      </c>
      <c r="C19" s="22">
        <f>COUNTIF('Passenger Responses'!$S$6:$S$205,5)</f>
        <v/>
      </c>
      <c r="D19" s="22">
        <f>COUNTIF('Passenger Responses'!$S$6:$S$205,4)</f>
        <v/>
      </c>
      <c r="E19" s="22">
        <f>COUNTIF('Passenger Responses'!$S$6:$S$205,3)</f>
        <v/>
      </c>
      <c r="F19" s="22">
        <f>COUNTIF('Passenger Responses'!$S$6:$S$205,2)</f>
        <v/>
      </c>
      <c r="G19" s="22">
        <f>COUNTIF('Passenger Responses'!$S$6:$S$205,1)</f>
        <v/>
      </c>
      <c r="H19" s="22">
        <f>COUNT('Passenger Responses'!$S$6:$S$205)</f>
        <v/>
      </c>
      <c r="I19" s="24">
        <f>IF(H19=0,"",(C19*5+D19*4+E19*3+F19*2+G19*1)/H19)</f>
        <v/>
      </c>
      <c r="J19" s="22">
        <f>IF(I19="","",IF(I19&gt;=4.21,"Strongly Agree",IF(I19&gt;=3.41,"Agree",IF(I19&gt;=2.61,"Neutral",IF(I19&gt;=1.81,"Disagree","Strongly Disagree")))))</f>
        <v/>
      </c>
    </row>
    <row r="20">
      <c r="A20" s="22" t="n">
        <v>4</v>
      </c>
      <c r="B20" s="23" t="inlineStr">
        <is>
          <t>The interface is visually appealing.</t>
        </is>
      </c>
      <c r="C20" s="22">
        <f>COUNTIF('Passenger Responses'!$T$6:$T$205,5)</f>
        <v/>
      </c>
      <c r="D20" s="22">
        <f>COUNTIF('Passenger Responses'!$T$6:$T$205,4)</f>
        <v/>
      </c>
      <c r="E20" s="22">
        <f>COUNTIF('Passenger Responses'!$T$6:$T$205,3)</f>
        <v/>
      </c>
      <c r="F20" s="22">
        <f>COUNTIF('Passenger Responses'!$T$6:$T$205,2)</f>
        <v/>
      </c>
      <c r="G20" s="22">
        <f>COUNTIF('Passenger Responses'!$T$6:$T$205,1)</f>
        <v/>
      </c>
      <c r="H20" s="22">
        <f>COUNT('Passenger Responses'!$T$6:$T$205)</f>
        <v/>
      </c>
      <c r="I20" s="24">
        <f>IF(H20=0,"",(C20*5+D20*4+E20*3+F20*2+G20*1)/H20)</f>
        <v/>
      </c>
      <c r="J20" s="22">
        <f>IF(I20="","",IF(I20&gt;=4.21,"Strongly Agree",IF(I20&gt;=3.41,"Agree",IF(I20&gt;=2.61,"Neutral",IF(I20&gt;=1.81,"Disagree","Strongly Disagree")))))</f>
        <v/>
      </c>
    </row>
    <row r="21">
      <c r="A21" s="22" t="n">
        <v>5</v>
      </c>
      <c r="B21" s="23" t="inlineStr">
        <is>
          <t>I can complete my tasks without confusion.</t>
        </is>
      </c>
      <c r="C21" s="22">
        <f>COUNTIF('Passenger Responses'!$U$6:$U$205,5)</f>
        <v/>
      </c>
      <c r="D21" s="22">
        <f>COUNTIF('Passenger Responses'!$U$6:$U$205,4)</f>
        <v/>
      </c>
      <c r="E21" s="22">
        <f>COUNTIF('Passenger Responses'!$U$6:$U$205,3)</f>
        <v/>
      </c>
      <c r="F21" s="22">
        <f>COUNTIF('Passenger Responses'!$U$6:$U$205,2)</f>
        <v/>
      </c>
      <c r="G21" s="22">
        <f>COUNTIF('Passenger Responses'!$U$6:$U$205,1)</f>
        <v/>
      </c>
      <c r="H21" s="22">
        <f>COUNT('Passenger Responses'!$U$6:$U$205)</f>
        <v/>
      </c>
      <c r="I21" s="24">
        <f>IF(H21=0,"",(C21*5+D21*4+E21*3+F21*2+G21*1)/H21)</f>
        <v/>
      </c>
      <c r="J21" s="22">
        <f>IF(I21="","",IF(I21&gt;=4.21,"Strongly Agree",IF(I21&gt;=3.41,"Agree",IF(I21&gt;=2.61,"Neutral",IF(I21&gt;=1.81,"Disagree","Strongly Disagree")))))</f>
        <v/>
      </c>
    </row>
    <row r="22">
      <c r="A22" s="22" t="n">
        <v>6</v>
      </c>
      <c r="B22" s="23" t="inlineStr">
        <is>
          <t>The system is easy to learn.</t>
        </is>
      </c>
      <c r="C22" s="22">
        <f>COUNTIF('Passenger Responses'!$V$6:$V$205,5)</f>
        <v/>
      </c>
      <c r="D22" s="22">
        <f>COUNTIF('Passenger Responses'!$V$6:$V$205,4)</f>
        <v/>
      </c>
      <c r="E22" s="22">
        <f>COUNTIF('Passenger Responses'!$V$6:$V$205,3)</f>
        <v/>
      </c>
      <c r="F22" s="22">
        <f>COUNTIF('Passenger Responses'!$V$6:$V$205,2)</f>
        <v/>
      </c>
      <c r="G22" s="22">
        <f>COUNTIF('Passenger Responses'!$V$6:$V$205,1)</f>
        <v/>
      </c>
      <c r="H22" s="22">
        <f>COUNT('Passenger Responses'!$V$6:$V$205)</f>
        <v/>
      </c>
      <c r="I22" s="24">
        <f>IF(H22=0,"",(C22*5+D22*4+E22*3+F22*2+G22*1)/H22)</f>
        <v/>
      </c>
      <c r="J22" s="22">
        <f>IF(I22="","",IF(I22&gt;=4.21,"Strongly Agree",IF(I22&gt;=3.41,"Agree",IF(I22&gt;=2.61,"Neutral",IF(I22&gt;=1.81,"Disagree","Strongly Disagree")))))</f>
        <v/>
      </c>
    </row>
    <row r="23">
      <c r="A23" s="25" t="n"/>
      <c r="B23" s="26" t="inlineStr">
        <is>
          <t>Category mean — B. Usability</t>
        </is>
      </c>
      <c r="C23" s="27" t="n"/>
      <c r="D23" s="27" t="n"/>
      <c r="E23" s="27" t="n"/>
      <c r="F23" s="27" t="n"/>
      <c r="G23" s="27" t="n"/>
      <c r="H23" s="27" t="n"/>
      <c r="I23" s="28">
        <f>IFERROR(AVERAGE(I17:I22),"")</f>
        <v/>
      </c>
      <c r="J23" s="29">
        <f>IF(I23="","",IF(I23&gt;=4.21,"Strongly Agree",IF(I23&gt;=3.41,"Agree",IF(I23&gt;=2.61,"Neutral",IF(I23&gt;=1.81,"Disagree","Strongly Disagree")))))</f>
        <v/>
      </c>
    </row>
    <row r="25">
      <c r="A25" s="19" t="inlineStr">
        <is>
          <t>C. Efficiency</t>
        </is>
      </c>
      <c r="B25" s="20" t="n"/>
      <c r="C25" s="20" t="n"/>
      <c r="D25" s="20" t="n"/>
      <c r="E25" s="20" t="n"/>
      <c r="F25" s="20" t="n"/>
      <c r="G25" s="20" t="n"/>
      <c r="H25" s="20" t="n"/>
      <c r="I25" s="20" t="n"/>
      <c r="J25" s="21" t="n"/>
    </row>
    <row r="26">
      <c r="A26" s="22" t="n">
        <v>1</v>
      </c>
      <c r="B26" s="23" t="inlineStr">
        <is>
          <t>The application loads quickly.</t>
        </is>
      </c>
      <c r="C26" s="22">
        <f>COUNTIF('Passenger Responses'!$W$6:$W$205,5)</f>
        <v/>
      </c>
      <c r="D26" s="22">
        <f>COUNTIF('Passenger Responses'!$W$6:$W$205,4)</f>
        <v/>
      </c>
      <c r="E26" s="22">
        <f>COUNTIF('Passenger Responses'!$W$6:$W$205,3)</f>
        <v/>
      </c>
      <c r="F26" s="22">
        <f>COUNTIF('Passenger Responses'!$W$6:$W$205,2)</f>
        <v/>
      </c>
      <c r="G26" s="22">
        <f>COUNTIF('Passenger Responses'!$W$6:$W$205,1)</f>
        <v/>
      </c>
      <c r="H26" s="22">
        <f>COUNT('Passenger Responses'!$W$6:$W$205)</f>
        <v/>
      </c>
      <c r="I26" s="24">
        <f>IF(H26=0,"",(C26*5+D26*4+E26*3+F26*2+G26*1)/H26)</f>
        <v/>
      </c>
      <c r="J26" s="22">
        <f>IF(I26="","",IF(I26&gt;=4.21,"Strongly Agree",IF(I26&gt;=3.41,"Agree",IF(I26&gt;=2.61,"Neutral",IF(I26&gt;=1.81,"Disagree","Strongly Disagree")))))</f>
        <v/>
      </c>
    </row>
    <row r="27">
      <c r="A27" s="22" t="n">
        <v>2</v>
      </c>
      <c r="B27" s="23" t="inlineStr">
        <is>
          <t>Booking requests are processed immediately.</t>
        </is>
      </c>
      <c r="C27" s="22">
        <f>COUNTIF('Passenger Responses'!$X$6:$X$205,5)</f>
        <v/>
      </c>
      <c r="D27" s="22">
        <f>COUNTIF('Passenger Responses'!$X$6:$X$205,4)</f>
        <v/>
      </c>
      <c r="E27" s="22">
        <f>COUNTIF('Passenger Responses'!$X$6:$X$205,3)</f>
        <v/>
      </c>
      <c r="F27" s="22">
        <f>COUNTIF('Passenger Responses'!$X$6:$X$205,2)</f>
        <v/>
      </c>
      <c r="G27" s="22">
        <f>COUNTIF('Passenger Responses'!$X$6:$X$205,1)</f>
        <v/>
      </c>
      <c r="H27" s="22">
        <f>COUNT('Passenger Responses'!$X$6:$X$205)</f>
        <v/>
      </c>
      <c r="I27" s="24">
        <f>IF(H27=0,"",(C27*5+D27*4+E27*3+F27*2+G27*1)/H27)</f>
        <v/>
      </c>
      <c r="J27" s="22">
        <f>IF(I27="","",IF(I27&gt;=4.21,"Strongly Agree",IF(I27&gt;=3.41,"Agree",IF(I27&gt;=2.61,"Neutral",IF(I27&gt;=1.81,"Disagree","Strongly Disagree")))))</f>
        <v/>
      </c>
    </row>
    <row r="28">
      <c r="A28" s="22" t="n">
        <v>3</v>
      </c>
      <c r="B28" s="23" t="inlineStr">
        <is>
          <t>Notifications arrive without delay.</t>
        </is>
      </c>
      <c r="C28" s="22">
        <f>COUNTIF('Passenger Responses'!$Y$6:$Y$205,5)</f>
        <v/>
      </c>
      <c r="D28" s="22">
        <f>COUNTIF('Passenger Responses'!$Y$6:$Y$205,4)</f>
        <v/>
      </c>
      <c r="E28" s="22">
        <f>COUNTIF('Passenger Responses'!$Y$6:$Y$205,3)</f>
        <v/>
      </c>
      <c r="F28" s="22">
        <f>COUNTIF('Passenger Responses'!$Y$6:$Y$205,2)</f>
        <v/>
      </c>
      <c r="G28" s="22">
        <f>COUNTIF('Passenger Responses'!$Y$6:$Y$205,1)</f>
        <v/>
      </c>
      <c r="H28" s="22">
        <f>COUNT('Passenger Responses'!$Y$6:$Y$205)</f>
        <v/>
      </c>
      <c r="I28" s="24">
        <f>IF(H28=0,"",(C28*5+D28*4+E28*3+F28*2+G28*1)/H28)</f>
        <v/>
      </c>
      <c r="J28" s="22">
        <f>IF(I28="","",IF(I28&gt;=4.21,"Strongly Agree",IF(I28&gt;=3.41,"Agree",IF(I28&gt;=2.61,"Neutral",IF(I28&gt;=1.81,"Disagree","Strongly Disagree")))))</f>
        <v/>
      </c>
    </row>
    <row r="29">
      <c r="A29" s="22" t="n">
        <v>4</v>
      </c>
      <c r="B29" s="23" t="inlineStr">
        <is>
          <t>The system performs smoothly.</t>
        </is>
      </c>
      <c r="C29" s="22">
        <f>COUNTIF('Passenger Responses'!$Z$6:$Z$205,5)</f>
        <v/>
      </c>
      <c r="D29" s="22">
        <f>COUNTIF('Passenger Responses'!$Z$6:$Z$205,4)</f>
        <v/>
      </c>
      <c r="E29" s="22">
        <f>COUNTIF('Passenger Responses'!$Z$6:$Z$205,3)</f>
        <v/>
      </c>
      <c r="F29" s="22">
        <f>COUNTIF('Passenger Responses'!$Z$6:$Z$205,2)</f>
        <v/>
      </c>
      <c r="G29" s="22">
        <f>COUNTIF('Passenger Responses'!$Z$6:$Z$205,1)</f>
        <v/>
      </c>
      <c r="H29" s="22">
        <f>COUNT('Passenger Responses'!$Z$6:$Z$205)</f>
        <v/>
      </c>
      <c r="I29" s="24">
        <f>IF(H29=0,"",(C29*5+D29*4+E29*3+F29*2+G29*1)/H29)</f>
        <v/>
      </c>
      <c r="J29" s="22">
        <f>IF(I29="","",IF(I29&gt;=4.21,"Strongly Agree",IF(I29&gt;=3.41,"Agree",IF(I29&gt;=2.61,"Neutral",IF(I29&gt;=1.81,"Disagree","Strongly Disagree")))))</f>
        <v/>
      </c>
    </row>
    <row r="30">
      <c r="A30" s="22" t="n">
        <v>5</v>
      </c>
      <c r="B30" s="23" t="inlineStr">
        <is>
          <t>The application consumes minimal mobile resources.</t>
        </is>
      </c>
      <c r="C30" s="22">
        <f>COUNTIF('Passenger Responses'!$AA$6:$AA$205,5)</f>
        <v/>
      </c>
      <c r="D30" s="22">
        <f>COUNTIF('Passenger Responses'!$AA$6:$AA$205,4)</f>
        <v/>
      </c>
      <c r="E30" s="22">
        <f>COUNTIF('Passenger Responses'!$AA$6:$AA$205,3)</f>
        <v/>
      </c>
      <c r="F30" s="22">
        <f>COUNTIF('Passenger Responses'!$AA$6:$AA$205,2)</f>
        <v/>
      </c>
      <c r="G30" s="22">
        <f>COUNTIF('Passenger Responses'!$AA$6:$AA$205,1)</f>
        <v/>
      </c>
      <c r="H30" s="22">
        <f>COUNT('Passenger Responses'!$AA$6:$AA$205)</f>
        <v/>
      </c>
      <c r="I30" s="24">
        <f>IF(H30=0,"",(C30*5+D30*4+E30*3+F30*2+G30*1)/H30)</f>
        <v/>
      </c>
      <c r="J30" s="22">
        <f>IF(I30="","",IF(I30&gt;=4.21,"Strongly Agree",IF(I30&gt;=3.41,"Agree",IF(I30&gt;=2.61,"Neutral",IF(I30&gt;=1.81,"Disagree","Strongly Disagree")))))</f>
        <v/>
      </c>
    </row>
    <row r="31">
      <c r="A31" s="25" t="n"/>
      <c r="B31" s="26" t="inlineStr">
        <is>
          <t>Category mean — C. Efficiency</t>
        </is>
      </c>
      <c r="C31" s="27" t="n"/>
      <c r="D31" s="27" t="n"/>
      <c r="E31" s="27" t="n"/>
      <c r="F31" s="27" t="n"/>
      <c r="G31" s="27" t="n"/>
      <c r="H31" s="27" t="n"/>
      <c r="I31" s="28">
        <f>IFERROR(AVERAGE(I26:I30),"")</f>
        <v/>
      </c>
      <c r="J31" s="29">
        <f>IF(I31="","",IF(I31&gt;=4.21,"Strongly Agree",IF(I31&gt;=3.41,"Agree",IF(I31&gt;=2.61,"Neutral",IF(I31&gt;=1.81,"Disagree","Strongly Disagree")))))</f>
        <v/>
      </c>
    </row>
    <row r="33">
      <c r="A33" s="19" t="inlineStr">
        <is>
          <t>D. Reliability</t>
        </is>
      </c>
      <c r="B33" s="20" t="n"/>
      <c r="C33" s="20" t="n"/>
      <c r="D33" s="20" t="n"/>
      <c r="E33" s="20" t="n"/>
      <c r="F33" s="20" t="n"/>
      <c r="G33" s="20" t="n"/>
      <c r="H33" s="20" t="n"/>
      <c r="I33" s="20" t="n"/>
      <c r="J33" s="21" t="n"/>
    </row>
    <row r="34">
      <c r="A34" s="22" t="n">
        <v>1</v>
      </c>
      <c r="B34" s="23" t="inlineStr">
        <is>
          <t>The system recovers properly after connection interruptions.</t>
        </is>
      </c>
      <c r="C34" s="22">
        <f>COUNTIF('Passenger Responses'!$AB$6:$AB$205,5)</f>
        <v/>
      </c>
      <c r="D34" s="22">
        <f>COUNTIF('Passenger Responses'!$AB$6:$AB$205,4)</f>
        <v/>
      </c>
      <c r="E34" s="22">
        <f>COUNTIF('Passenger Responses'!$AB$6:$AB$205,3)</f>
        <v/>
      </c>
      <c r="F34" s="22">
        <f>COUNTIF('Passenger Responses'!$AB$6:$AB$205,2)</f>
        <v/>
      </c>
      <c r="G34" s="22">
        <f>COUNTIF('Passenger Responses'!$AB$6:$AB$205,1)</f>
        <v/>
      </c>
      <c r="H34" s="22">
        <f>COUNT('Passenger Responses'!$AB$6:$AB$205)</f>
        <v/>
      </c>
      <c r="I34" s="24">
        <f>IF(H34=0,"",(C34*5+D34*4+E34*3+F34*2+G34*1)/H34)</f>
        <v/>
      </c>
      <c r="J34" s="22">
        <f>IF(I34="","",IF(I34&gt;=4.21,"Strongly Agree",IF(I34&gt;=3.41,"Agree",IF(I34&gt;=2.61,"Neutral",IF(I34&gt;=1.81,"Disagree","Strongly Disagree")))))</f>
        <v/>
      </c>
    </row>
    <row r="35">
      <c r="A35" s="22" t="n">
        <v>2</v>
      </c>
      <c r="B35" s="23" t="inlineStr">
        <is>
          <t>I can depend on the system to connect me with a driver when needed.</t>
        </is>
      </c>
      <c r="C35" s="22">
        <f>COUNTIF('Passenger Responses'!$AC$6:$AC$205,5)</f>
        <v/>
      </c>
      <c r="D35" s="22">
        <f>COUNTIF('Passenger Responses'!$AC$6:$AC$205,4)</f>
        <v/>
      </c>
      <c r="E35" s="22">
        <f>COUNTIF('Passenger Responses'!$AC$6:$AC$205,3)</f>
        <v/>
      </c>
      <c r="F35" s="22">
        <f>COUNTIF('Passenger Responses'!$AC$6:$AC$205,2)</f>
        <v/>
      </c>
      <c r="G35" s="22">
        <f>COUNTIF('Passenger Responses'!$AC$6:$AC$205,1)</f>
        <v/>
      </c>
      <c r="H35" s="22">
        <f>COUNT('Passenger Responses'!$AC$6:$AC$205)</f>
        <v/>
      </c>
      <c r="I35" s="24">
        <f>IF(H35=0,"",(C35*5+D35*4+E35*3+F35*2+G35*1)/H35)</f>
        <v/>
      </c>
      <c r="J35" s="22">
        <f>IF(I35="","",IF(I35&gt;=4.21,"Strongly Agree",IF(I35&gt;=3.41,"Agree",IF(I35&gt;=2.61,"Neutral",IF(I35&gt;=1.81,"Disagree","Strongly Disagree")))))</f>
        <v/>
      </c>
    </row>
    <row r="36">
      <c r="A36" s="22" t="n">
        <v>3</v>
      </c>
      <c r="B36" s="23" t="inlineStr">
        <is>
          <t>The system maintains accurate and up-to-date information.</t>
        </is>
      </c>
      <c r="C36" s="22">
        <f>COUNTIF('Passenger Responses'!$AD$6:$AD$205,5)</f>
        <v/>
      </c>
      <c r="D36" s="22">
        <f>COUNTIF('Passenger Responses'!$AD$6:$AD$205,4)</f>
        <v/>
      </c>
      <c r="E36" s="22">
        <f>COUNTIF('Passenger Responses'!$AD$6:$AD$205,3)</f>
        <v/>
      </c>
      <c r="F36" s="22">
        <f>COUNTIF('Passenger Responses'!$AD$6:$AD$205,2)</f>
        <v/>
      </c>
      <c r="G36" s="22">
        <f>COUNTIF('Passenger Responses'!$AD$6:$AD$205,1)</f>
        <v/>
      </c>
      <c r="H36" s="22">
        <f>COUNT('Passenger Responses'!$AD$6:$AD$205)</f>
        <v/>
      </c>
      <c r="I36" s="24">
        <f>IF(H36=0,"",(C36*5+D36*4+E36*3+F36*2+G36*1)/H36)</f>
        <v/>
      </c>
      <c r="J36" s="22">
        <f>IF(I36="","",IF(I36&gt;=4.21,"Strongly Agree",IF(I36&gt;=3.41,"Agree",IF(I36&gt;=2.61,"Neutral",IF(I36&gt;=1.81,"Disagree","Strongly Disagree")))))</f>
        <v/>
      </c>
    </row>
    <row r="37">
      <c r="A37" s="22" t="n">
        <v>4</v>
      </c>
      <c r="B37" s="23" t="inlineStr">
        <is>
          <t>The system performs well even during peak hours.</t>
        </is>
      </c>
      <c r="C37" s="22">
        <f>COUNTIF('Passenger Responses'!$AE$6:$AE$205,5)</f>
        <v/>
      </c>
      <c r="D37" s="22">
        <f>COUNTIF('Passenger Responses'!$AE$6:$AE$205,4)</f>
        <v/>
      </c>
      <c r="E37" s="22">
        <f>COUNTIF('Passenger Responses'!$AE$6:$AE$205,3)</f>
        <v/>
      </c>
      <c r="F37" s="22">
        <f>COUNTIF('Passenger Responses'!$AE$6:$AE$205,2)</f>
        <v/>
      </c>
      <c r="G37" s="22">
        <f>COUNTIF('Passenger Responses'!$AE$6:$AE$205,1)</f>
        <v/>
      </c>
      <c r="H37" s="22">
        <f>COUNT('Passenger Responses'!$AE$6:$AE$205)</f>
        <v/>
      </c>
      <c r="I37" s="24">
        <f>IF(H37=0,"",(C37*5+D37*4+E37*3+F37*2+G37*1)/H37)</f>
        <v/>
      </c>
      <c r="J37" s="22">
        <f>IF(I37="","",IF(I37&gt;=4.21,"Strongly Agree",IF(I37&gt;=3.41,"Agree",IF(I37&gt;=2.61,"Neutral",IF(I37&gt;=1.81,"Disagree","Strongly Disagree")))))</f>
        <v/>
      </c>
    </row>
    <row r="38">
      <c r="A38" s="22" t="n">
        <v>5</v>
      </c>
      <c r="B38" s="23" t="inlineStr">
        <is>
          <t>I trust the system to provide a safe and reliable ride booking experience.</t>
        </is>
      </c>
      <c r="C38" s="22">
        <f>COUNTIF('Passenger Responses'!$AF$6:$AF$205,5)</f>
        <v/>
      </c>
      <c r="D38" s="22">
        <f>COUNTIF('Passenger Responses'!$AF$6:$AF$205,4)</f>
        <v/>
      </c>
      <c r="E38" s="22">
        <f>COUNTIF('Passenger Responses'!$AF$6:$AF$205,3)</f>
        <v/>
      </c>
      <c r="F38" s="22">
        <f>COUNTIF('Passenger Responses'!$AF$6:$AF$205,2)</f>
        <v/>
      </c>
      <c r="G38" s="22">
        <f>COUNTIF('Passenger Responses'!$AF$6:$AF$205,1)</f>
        <v/>
      </c>
      <c r="H38" s="22">
        <f>COUNT('Passenger Responses'!$AF$6:$AF$205)</f>
        <v/>
      </c>
      <c r="I38" s="24">
        <f>IF(H38=0,"",(C38*5+D38*4+E38*3+F38*2+G38*1)/H38)</f>
        <v/>
      </c>
      <c r="J38" s="22">
        <f>IF(I38="","",IF(I38&gt;=4.21,"Strongly Agree",IF(I38&gt;=3.41,"Agree",IF(I38&gt;=2.61,"Neutral",IF(I38&gt;=1.81,"Disagree","Strongly Disagree")))))</f>
        <v/>
      </c>
    </row>
    <row r="39">
      <c r="A39" s="25" t="n"/>
      <c r="B39" s="26" t="inlineStr">
        <is>
          <t>Category mean — D. Reliability</t>
        </is>
      </c>
      <c r="C39" s="27" t="n"/>
      <c r="D39" s="27" t="n"/>
      <c r="E39" s="27" t="n"/>
      <c r="F39" s="27" t="n"/>
      <c r="G39" s="27" t="n"/>
      <c r="H39" s="27" t="n"/>
      <c r="I39" s="28">
        <f>IFERROR(AVERAGE(I34:I38),"")</f>
        <v/>
      </c>
      <c r="J39" s="29">
        <f>IF(I39="","",IF(I39&gt;=4.21,"Strongly Agree",IF(I39&gt;=3.41,"Agree",IF(I39&gt;=2.61,"Neutral",IF(I39&gt;=1.81,"Disagree","Strongly Disagree")))))</f>
        <v/>
      </c>
    </row>
    <row r="41">
      <c r="A41" s="19" t="inlineStr">
        <is>
          <t>E. Security</t>
        </is>
      </c>
      <c r="B41" s="20" t="n"/>
      <c r="C41" s="20" t="n"/>
      <c r="D41" s="20" t="n"/>
      <c r="E41" s="20" t="n"/>
      <c r="F41" s="20" t="n"/>
      <c r="G41" s="20" t="n"/>
      <c r="H41" s="20" t="n"/>
      <c r="I41" s="20" t="n"/>
      <c r="J41" s="21" t="n"/>
    </row>
    <row r="42">
      <c r="A42" s="22" t="n">
        <v>1</v>
      </c>
      <c r="B42" s="23" t="inlineStr">
        <is>
          <t>I feel that my personal information is protected.</t>
        </is>
      </c>
      <c r="C42" s="22">
        <f>COUNTIF('Passenger Responses'!$AG$6:$AG$205,5)</f>
        <v/>
      </c>
      <c r="D42" s="22">
        <f>COUNTIF('Passenger Responses'!$AG$6:$AG$205,4)</f>
        <v/>
      </c>
      <c r="E42" s="22">
        <f>COUNTIF('Passenger Responses'!$AG$6:$AG$205,3)</f>
        <v/>
      </c>
      <c r="F42" s="22">
        <f>COUNTIF('Passenger Responses'!$AG$6:$AG$205,2)</f>
        <v/>
      </c>
      <c r="G42" s="22">
        <f>COUNTIF('Passenger Responses'!$AG$6:$AG$205,1)</f>
        <v/>
      </c>
      <c r="H42" s="22">
        <f>COUNT('Passenger Responses'!$AG$6:$AG$205)</f>
        <v/>
      </c>
      <c r="I42" s="24">
        <f>IF(H42=0,"",(C42*5+D42*4+E42*3+F42*2+G42*1)/H42)</f>
        <v/>
      </c>
      <c r="J42" s="22">
        <f>IF(I42="","",IF(I42&gt;=4.21,"Strongly Agree",IF(I42&gt;=3.41,"Agree",IF(I42&gt;=2.61,"Neutral",IF(I42&gt;=1.81,"Disagree","Strongly Disagree")))))</f>
        <v/>
      </c>
    </row>
    <row r="43">
      <c r="A43" s="22" t="n">
        <v>2</v>
      </c>
      <c r="B43" s="23" t="inlineStr">
        <is>
          <t>The login process is secure.</t>
        </is>
      </c>
      <c r="C43" s="22">
        <f>COUNTIF('Passenger Responses'!$AH$6:$AH$205,5)</f>
        <v/>
      </c>
      <c r="D43" s="22">
        <f>COUNTIF('Passenger Responses'!$AH$6:$AH$205,4)</f>
        <v/>
      </c>
      <c r="E43" s="22">
        <f>COUNTIF('Passenger Responses'!$AH$6:$AH$205,3)</f>
        <v/>
      </c>
      <c r="F43" s="22">
        <f>COUNTIF('Passenger Responses'!$AH$6:$AH$205,2)</f>
        <v/>
      </c>
      <c r="G43" s="22">
        <f>COUNTIF('Passenger Responses'!$AH$6:$AH$205,1)</f>
        <v/>
      </c>
      <c r="H43" s="22">
        <f>COUNT('Passenger Responses'!$AH$6:$AH$205)</f>
        <v/>
      </c>
      <c r="I43" s="24">
        <f>IF(H43=0,"",(C43*5+D43*4+E43*3+F43*2+G43*1)/H43)</f>
        <v/>
      </c>
      <c r="J43" s="22">
        <f>IF(I43="","",IF(I43&gt;=4.21,"Strongly Agree",IF(I43&gt;=3.41,"Agree",IF(I43&gt;=2.61,"Neutral",IF(I43&gt;=1.81,"Disagree","Strongly Disagree")))))</f>
        <v/>
      </c>
    </row>
    <row r="44">
      <c r="A44" s="22" t="n">
        <v>3</v>
      </c>
      <c r="B44" s="23" t="inlineStr">
        <is>
          <t>Only authorized users can access their accounts.</t>
        </is>
      </c>
      <c r="C44" s="22">
        <f>COUNTIF('Passenger Responses'!$AI$6:$AI$205,5)</f>
        <v/>
      </c>
      <c r="D44" s="22">
        <f>COUNTIF('Passenger Responses'!$AI$6:$AI$205,4)</f>
        <v/>
      </c>
      <c r="E44" s="22">
        <f>COUNTIF('Passenger Responses'!$AI$6:$AI$205,3)</f>
        <v/>
      </c>
      <c r="F44" s="22">
        <f>COUNTIF('Passenger Responses'!$AI$6:$AI$205,2)</f>
        <v/>
      </c>
      <c r="G44" s="22">
        <f>COUNTIF('Passenger Responses'!$AI$6:$AI$205,1)</f>
        <v/>
      </c>
      <c r="H44" s="22">
        <f>COUNT('Passenger Responses'!$AI$6:$AI$205)</f>
        <v/>
      </c>
      <c r="I44" s="24">
        <f>IF(H44=0,"",(C44*5+D44*4+E44*3+F44*2+G44*1)/H44)</f>
        <v/>
      </c>
      <c r="J44" s="22">
        <f>IF(I44="","",IF(I44&gt;=4.21,"Strongly Agree",IF(I44&gt;=3.41,"Agree",IF(I44&gt;=2.61,"Neutral",IF(I44&gt;=1.81,"Disagree","Strongly Disagree")))))</f>
        <v/>
      </c>
    </row>
    <row r="45">
      <c r="A45" s="22" t="n">
        <v>4</v>
      </c>
      <c r="B45" s="23" t="inlineStr">
        <is>
          <t>Driver information is securely stored.</t>
        </is>
      </c>
      <c r="C45" s="22">
        <f>COUNTIF('Passenger Responses'!$AJ$6:$AJ$205,5)</f>
        <v/>
      </c>
      <c r="D45" s="22">
        <f>COUNTIF('Passenger Responses'!$AJ$6:$AJ$205,4)</f>
        <v/>
      </c>
      <c r="E45" s="22">
        <f>COUNTIF('Passenger Responses'!$AJ$6:$AJ$205,3)</f>
        <v/>
      </c>
      <c r="F45" s="22">
        <f>COUNTIF('Passenger Responses'!$AJ$6:$AJ$205,2)</f>
        <v/>
      </c>
      <c r="G45" s="22">
        <f>COUNTIF('Passenger Responses'!$AJ$6:$AJ$205,1)</f>
        <v/>
      </c>
      <c r="H45" s="22">
        <f>COUNT('Passenger Responses'!$AJ$6:$AJ$205)</f>
        <v/>
      </c>
      <c r="I45" s="24">
        <f>IF(H45=0,"",(C45*5+D45*4+E45*3+F45*2+G45*1)/H45)</f>
        <v/>
      </c>
      <c r="J45" s="22">
        <f>IF(I45="","",IF(I45&gt;=4.21,"Strongly Agree",IF(I45&gt;=3.41,"Agree",IF(I45&gt;=2.61,"Neutral",IF(I45&gt;=1.81,"Disagree","Strongly Disagree")))))</f>
        <v/>
      </c>
    </row>
    <row r="46">
      <c r="A46" s="22" t="n">
        <v>5</v>
      </c>
      <c r="B46" s="23" t="inlineStr">
        <is>
          <t>I trust the system to protect my data.</t>
        </is>
      </c>
      <c r="C46" s="22">
        <f>COUNTIF('Passenger Responses'!$AK$6:$AK$205,5)</f>
        <v/>
      </c>
      <c r="D46" s="22">
        <f>COUNTIF('Passenger Responses'!$AK$6:$AK$205,4)</f>
        <v/>
      </c>
      <c r="E46" s="22">
        <f>COUNTIF('Passenger Responses'!$AK$6:$AK$205,3)</f>
        <v/>
      </c>
      <c r="F46" s="22">
        <f>COUNTIF('Passenger Responses'!$AK$6:$AK$205,2)</f>
        <v/>
      </c>
      <c r="G46" s="22">
        <f>COUNTIF('Passenger Responses'!$AK$6:$AK$205,1)</f>
        <v/>
      </c>
      <c r="H46" s="22">
        <f>COUNT('Passenger Responses'!$AK$6:$AK$205)</f>
        <v/>
      </c>
      <c r="I46" s="24">
        <f>IF(H46=0,"",(C46*5+D46*4+E46*3+F46*2+G46*1)/H46)</f>
        <v/>
      </c>
      <c r="J46" s="22">
        <f>IF(I46="","",IF(I46&gt;=4.21,"Strongly Agree",IF(I46&gt;=3.41,"Agree",IF(I46&gt;=2.61,"Neutral",IF(I46&gt;=1.81,"Disagree","Strongly Disagree")))))</f>
        <v/>
      </c>
    </row>
    <row r="47">
      <c r="A47" s="25" t="n"/>
      <c r="B47" s="26" t="inlineStr">
        <is>
          <t>Category mean — E. Security</t>
        </is>
      </c>
      <c r="C47" s="27" t="n"/>
      <c r="D47" s="27" t="n"/>
      <c r="E47" s="27" t="n"/>
      <c r="F47" s="27" t="n"/>
      <c r="G47" s="27" t="n"/>
      <c r="H47" s="27" t="n"/>
      <c r="I47" s="28">
        <f>IFERROR(AVERAGE(I42:I46),"")</f>
        <v/>
      </c>
      <c r="J47" s="29">
        <f>IF(I47="","",IF(I47&gt;=4.21,"Strongly Agree",IF(I47&gt;=3.41,"Agree",IF(I47&gt;=2.61,"Neutral",IF(I47&gt;=1.81,"Disagree","Strongly Disagree")))))</f>
        <v/>
      </c>
    </row>
    <row r="49">
      <c r="A49" s="19" t="inlineStr">
        <is>
          <t>F. Overall Satisfaction</t>
        </is>
      </c>
      <c r="B49" s="20" t="n"/>
      <c r="C49" s="20" t="n"/>
      <c r="D49" s="20" t="n"/>
      <c r="E49" s="20" t="n"/>
      <c r="F49" s="20" t="n"/>
      <c r="G49" s="20" t="n"/>
      <c r="H49" s="20" t="n"/>
      <c r="I49" s="20" t="n"/>
      <c r="J49" s="21" t="n"/>
    </row>
    <row r="50">
      <c r="A50" s="22" t="n">
        <v>1</v>
      </c>
      <c r="B50" s="23" t="inlineStr">
        <is>
          <t>I am satisfied with the overall performance of the system.</t>
        </is>
      </c>
      <c r="C50" s="22">
        <f>COUNTIF('Passenger Responses'!$AL$6:$AL$205,5)</f>
        <v/>
      </c>
      <c r="D50" s="22">
        <f>COUNTIF('Passenger Responses'!$AL$6:$AL$205,4)</f>
        <v/>
      </c>
      <c r="E50" s="22">
        <f>COUNTIF('Passenger Responses'!$AL$6:$AL$205,3)</f>
        <v/>
      </c>
      <c r="F50" s="22">
        <f>COUNTIF('Passenger Responses'!$AL$6:$AL$205,2)</f>
        <v/>
      </c>
      <c r="G50" s="22">
        <f>COUNTIF('Passenger Responses'!$AL$6:$AL$205,1)</f>
        <v/>
      </c>
      <c r="H50" s="22">
        <f>COUNT('Passenger Responses'!$AL$6:$AL$205)</f>
        <v/>
      </c>
      <c r="I50" s="24">
        <f>IF(H50=0,"",(C50*5+D50*4+E50*3+F50*2+G50*1)/H50)</f>
        <v/>
      </c>
      <c r="J50" s="22">
        <f>IF(I50="","",IF(I50&gt;=4.21,"Strongly Agree",IF(I50&gt;=3.41,"Agree",IF(I50&gt;=2.61,"Neutral",IF(I50&gt;=1.81,"Disagree","Strongly Disagree")))))</f>
        <v/>
      </c>
    </row>
    <row r="51">
      <c r="A51" s="22" t="n">
        <v>2</v>
      </c>
      <c r="B51" s="23" t="inlineStr">
        <is>
          <t>I would recommend this system to others.</t>
        </is>
      </c>
      <c r="C51" s="22">
        <f>COUNTIF('Passenger Responses'!$AM$6:$AM$205,5)</f>
        <v/>
      </c>
      <c r="D51" s="22">
        <f>COUNTIF('Passenger Responses'!$AM$6:$AM$205,4)</f>
        <v/>
      </c>
      <c r="E51" s="22">
        <f>COUNTIF('Passenger Responses'!$AM$6:$AM$205,3)</f>
        <v/>
      </c>
      <c r="F51" s="22">
        <f>COUNTIF('Passenger Responses'!$AM$6:$AM$205,2)</f>
        <v/>
      </c>
      <c r="G51" s="22">
        <f>COUNTIF('Passenger Responses'!$AM$6:$AM$205,1)</f>
        <v/>
      </c>
      <c r="H51" s="22">
        <f>COUNT('Passenger Responses'!$AM$6:$AM$205)</f>
        <v/>
      </c>
      <c r="I51" s="24">
        <f>IF(H51=0,"",(C51*5+D51*4+E51*3+F51*2+G51*1)/H51)</f>
        <v/>
      </c>
      <c r="J51" s="22">
        <f>IF(I51="","",IF(I51&gt;=4.21,"Strongly Agree",IF(I51&gt;=3.41,"Agree",IF(I51&gt;=2.61,"Neutral",IF(I51&gt;=1.81,"Disagree","Strongly Disagree")))))</f>
        <v/>
      </c>
    </row>
    <row r="52">
      <c r="A52" s="22" t="n">
        <v>3</v>
      </c>
      <c r="B52" s="23" t="inlineStr">
        <is>
          <t>I intend to continue using the system.</t>
        </is>
      </c>
      <c r="C52" s="22">
        <f>COUNTIF('Passenger Responses'!$AN$6:$AN$205,5)</f>
        <v/>
      </c>
      <c r="D52" s="22">
        <f>COUNTIF('Passenger Responses'!$AN$6:$AN$205,4)</f>
        <v/>
      </c>
      <c r="E52" s="22">
        <f>COUNTIF('Passenger Responses'!$AN$6:$AN$205,3)</f>
        <v/>
      </c>
      <c r="F52" s="22">
        <f>COUNTIF('Passenger Responses'!$AN$6:$AN$205,2)</f>
        <v/>
      </c>
      <c r="G52" s="22">
        <f>COUNTIF('Passenger Responses'!$AN$6:$AN$205,1)</f>
        <v/>
      </c>
      <c r="H52" s="22">
        <f>COUNT('Passenger Responses'!$AN$6:$AN$205)</f>
        <v/>
      </c>
      <c r="I52" s="24">
        <f>IF(H52=0,"",(C52*5+D52*4+E52*3+F52*2+G52*1)/H52)</f>
        <v/>
      </c>
      <c r="J52" s="22">
        <f>IF(I52="","",IF(I52&gt;=4.21,"Strongly Agree",IF(I52&gt;=3.41,"Agree",IF(I52&gt;=2.61,"Neutral",IF(I52&gt;=1.81,"Disagree","Strongly Disagree")))))</f>
        <v/>
      </c>
    </row>
    <row r="53">
      <c r="A53" s="22" t="n">
        <v>4</v>
      </c>
      <c r="B53" s="23" t="inlineStr">
        <is>
          <t>The system meets my expectations.</t>
        </is>
      </c>
      <c r="C53" s="22">
        <f>COUNTIF('Passenger Responses'!$AO$6:$AO$205,5)</f>
        <v/>
      </c>
      <c r="D53" s="22">
        <f>COUNTIF('Passenger Responses'!$AO$6:$AO$205,4)</f>
        <v/>
      </c>
      <c r="E53" s="22">
        <f>COUNTIF('Passenger Responses'!$AO$6:$AO$205,3)</f>
        <v/>
      </c>
      <c r="F53" s="22">
        <f>COUNTIF('Passenger Responses'!$AO$6:$AO$205,2)</f>
        <v/>
      </c>
      <c r="G53" s="22">
        <f>COUNTIF('Passenger Responses'!$AO$6:$AO$205,1)</f>
        <v/>
      </c>
      <c r="H53" s="22">
        <f>COUNT('Passenger Responses'!$AO$6:$AO$205)</f>
        <v/>
      </c>
      <c r="I53" s="24">
        <f>IF(H53=0,"",(C53*5+D53*4+E53*3+F53*2+G53*1)/H53)</f>
        <v/>
      </c>
      <c r="J53" s="22">
        <f>IF(I53="","",IF(I53&gt;=4.21,"Strongly Agree",IF(I53&gt;=3.41,"Agree",IF(I53&gt;=2.61,"Neutral",IF(I53&gt;=1.81,"Disagree","Strongly Disagree")))))</f>
        <v/>
      </c>
    </row>
    <row r="54">
      <c r="A54" s="22" t="n">
        <v>5</v>
      </c>
      <c r="B54" s="23" t="inlineStr">
        <is>
          <t>Overall, I rate the system as effective.</t>
        </is>
      </c>
      <c r="C54" s="22">
        <f>COUNTIF('Passenger Responses'!$AP$6:$AP$205,5)</f>
        <v/>
      </c>
      <c r="D54" s="22">
        <f>COUNTIF('Passenger Responses'!$AP$6:$AP$205,4)</f>
        <v/>
      </c>
      <c r="E54" s="22">
        <f>COUNTIF('Passenger Responses'!$AP$6:$AP$205,3)</f>
        <v/>
      </c>
      <c r="F54" s="22">
        <f>COUNTIF('Passenger Responses'!$AP$6:$AP$205,2)</f>
        <v/>
      </c>
      <c r="G54" s="22">
        <f>COUNTIF('Passenger Responses'!$AP$6:$AP$205,1)</f>
        <v/>
      </c>
      <c r="H54" s="22">
        <f>COUNT('Passenger Responses'!$AP$6:$AP$205)</f>
        <v/>
      </c>
      <c r="I54" s="24">
        <f>IF(H54=0,"",(C54*5+D54*4+E54*3+F54*2+G54*1)/H54)</f>
        <v/>
      </c>
      <c r="J54" s="22">
        <f>IF(I54="","",IF(I54&gt;=4.21,"Strongly Agree",IF(I54&gt;=3.41,"Agree",IF(I54&gt;=2.61,"Neutral",IF(I54&gt;=1.81,"Disagree","Strongly Disagree")))))</f>
        <v/>
      </c>
    </row>
    <row r="55">
      <c r="A55" s="25" t="n"/>
      <c r="B55" s="26" t="inlineStr">
        <is>
          <t>Category mean — F. Overall Satisfaction</t>
        </is>
      </c>
      <c r="C55" s="27" t="n"/>
      <c r="D55" s="27" t="n"/>
      <c r="E55" s="27" t="n"/>
      <c r="F55" s="27" t="n"/>
      <c r="G55" s="27" t="n"/>
      <c r="H55" s="27" t="n"/>
      <c r="I55" s="28">
        <f>IFERROR(AVERAGE(I50:I54),"")</f>
        <v/>
      </c>
      <c r="J55" s="29">
        <f>IF(I55="","",IF(I55&gt;=4.21,"Strongly Agree",IF(I55&gt;=3.41,"Agree",IF(I55&gt;=2.61,"Neutral",IF(I55&gt;=1.81,"Disagree","Strongly Disagree")))))</f>
        <v/>
      </c>
    </row>
    <row r="57">
      <c r="A57" s="30" t="n"/>
      <c r="B57" s="31" t="inlineStr">
        <is>
          <t>OVERALL WEIGHTED MEAN</t>
        </is>
      </c>
      <c r="C57" s="32" t="n"/>
      <c r="D57" s="32" t="n"/>
      <c r="E57" s="32" t="n"/>
      <c r="F57" s="32" t="n"/>
      <c r="G57" s="32" t="n"/>
      <c r="H57" s="32" t="n"/>
      <c r="I57" s="33">
        <f>IFERROR(AVERAGE(I14,I23,I31,I39,I47,I55),"")</f>
        <v/>
      </c>
      <c r="J57" s="34">
        <f>IF(I57="","",IF(I57&gt;=4.21,"Strongly Agree",IF(I57&gt;=3.41,"Agree",IF(I57&gt;=2.61,"Neutral",IF(I57&gt;=1.81,"Disagree","Strongly Disagree")))))</f>
        <v/>
      </c>
    </row>
    <row r="59" ht="28" customHeight="1">
      <c r="B59" s="11" t="inlineStr">
        <is>
          <t>The overall mean averages the category means, so each characteristic counts equally regardless of how many items it has. Average column I of the items instead if your statistician wants every item weighted equally.</t>
        </is>
      </c>
    </row>
  </sheetData>
  <mergeCells count="7">
    <mergeCell ref="A5:J5"/>
    <mergeCell ref="B59:J59"/>
    <mergeCell ref="A16:J16"/>
    <mergeCell ref="A25:J25"/>
    <mergeCell ref="A41:J41"/>
    <mergeCell ref="A33:J33"/>
    <mergeCell ref="A49:J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4" topLeftCell="A5" activePane="bottomLeft" state="frozen"/>
      <selection pane="bottomLeft" activeCell="A1" sqref="A1"/>
    </sheetView>
  </sheetViews>
  <sheetFormatPr baseColWidth="8" defaultRowHeight="15"/>
  <cols>
    <col width="4" customWidth="1" min="1" max="1"/>
    <col width="58" customWidth="1" min="2" max="2"/>
    <col width="7" customWidth="1" min="3" max="3"/>
    <col width="7" customWidth="1" min="4" max="4"/>
    <col width="7" customWidth="1" min="5" max="5"/>
    <col width="7" customWidth="1" min="6" max="6"/>
    <col width="7" customWidth="1" min="7" max="7"/>
    <col width="8" customWidth="1" min="8" max="8"/>
    <col width="15" customWidth="1" min="9" max="9"/>
    <col width="20" customWidth="1" min="10" max="10"/>
  </cols>
  <sheetData>
    <row r="1">
      <c r="A1" s="10" t="inlineStr">
        <is>
          <t>Tally - Driver</t>
        </is>
      </c>
    </row>
    <row r="2">
      <c r="A2" s="11" t="inlineStr">
        <is>
          <t>Every figure is a formula reading 'Driver Responses' rows 6-205. Nothing on this sheet needs typing.</t>
        </is>
      </c>
    </row>
    <row r="4" ht="26" customHeight="1">
      <c r="A4" s="18" t="inlineStr">
        <is>
          <t>#</t>
        </is>
      </c>
      <c r="B4" s="18" t="inlineStr">
        <is>
          <t>Indicator</t>
        </is>
      </c>
      <c r="C4" s="18" t="inlineStr">
        <is>
          <t>5</t>
        </is>
      </c>
      <c r="D4" s="18" t="inlineStr">
        <is>
          <t>4</t>
        </is>
      </c>
      <c r="E4" s="18" t="inlineStr">
        <is>
          <t>3</t>
        </is>
      </c>
      <c r="F4" s="18" t="inlineStr">
        <is>
          <t>2</t>
        </is>
      </c>
      <c r="G4" s="18" t="inlineStr">
        <is>
          <t>1</t>
        </is>
      </c>
      <c r="H4" s="18" t="inlineStr">
        <is>
          <t>N</t>
        </is>
      </c>
      <c r="I4" s="18" t="inlineStr">
        <is>
          <t>Weighted Mean</t>
        </is>
      </c>
      <c r="J4" s="18" t="inlineStr">
        <is>
          <t>Interpretation</t>
        </is>
      </c>
    </row>
    <row r="5">
      <c r="A5" s="19" t="inlineStr">
        <is>
          <t>A. Usability</t>
        </is>
      </c>
      <c r="B5" s="20" t="n"/>
      <c r="C5" s="20" t="n"/>
      <c r="D5" s="20" t="n"/>
      <c r="E5" s="20" t="n"/>
      <c r="F5" s="20" t="n"/>
      <c r="G5" s="20" t="n"/>
      <c r="H5" s="20" t="n"/>
      <c r="I5" s="20" t="n"/>
      <c r="J5" s="21" t="n"/>
    </row>
    <row r="6">
      <c r="A6" s="22" t="n">
        <v>1</v>
      </c>
      <c r="B6" s="23" t="inlineStr">
        <is>
          <t>The system is easy to navigate and use.</t>
        </is>
      </c>
      <c r="C6" s="22">
        <f>COUNTIF('Driver Responses'!$I$6:$I$205,5)</f>
        <v/>
      </c>
      <c r="D6" s="22">
        <f>COUNTIF('Driver Responses'!$I$6:$I$205,4)</f>
        <v/>
      </c>
      <c r="E6" s="22">
        <f>COUNTIF('Driver Responses'!$I$6:$I$205,3)</f>
        <v/>
      </c>
      <c r="F6" s="22">
        <f>COUNTIF('Driver Responses'!$I$6:$I$205,2)</f>
        <v/>
      </c>
      <c r="G6" s="22">
        <f>COUNTIF('Driver Responses'!$I$6:$I$205,1)</f>
        <v/>
      </c>
      <c r="H6" s="22">
        <f>COUNT('Driver Responses'!$I$6:$I$205)</f>
        <v/>
      </c>
      <c r="I6" s="24">
        <f>IF(H6=0,"",(C6*5+D6*4+E6*3+F6*2+G6*1)/H6)</f>
        <v/>
      </c>
      <c r="J6" s="22">
        <f>IF(I6="","",IF(I6&gt;=4.21,"Strongly Agree",IF(I6&gt;=3.41,"Agree",IF(I6&gt;=2.61,"Neutral",IF(I6&gt;=1.81,"Disagree","Strongly Disagree")))))</f>
        <v/>
      </c>
    </row>
    <row r="7">
      <c r="A7" s="22" t="n">
        <v>2</v>
      </c>
      <c r="B7" s="23" t="inlineStr">
        <is>
          <t>The interface is clean and visually understandable.</t>
        </is>
      </c>
      <c r="C7" s="22">
        <f>COUNTIF('Driver Responses'!$J$6:$J$205,5)</f>
        <v/>
      </c>
      <c r="D7" s="22">
        <f>COUNTIF('Driver Responses'!$J$6:$J$205,4)</f>
        <v/>
      </c>
      <c r="E7" s="22">
        <f>COUNTIF('Driver Responses'!$J$6:$J$205,3)</f>
        <v/>
      </c>
      <c r="F7" s="22">
        <f>COUNTIF('Driver Responses'!$J$6:$J$205,2)</f>
        <v/>
      </c>
      <c r="G7" s="22">
        <f>COUNTIF('Driver Responses'!$J$6:$J$205,1)</f>
        <v/>
      </c>
      <c r="H7" s="22">
        <f>COUNT('Driver Responses'!$J$6:$J$205)</f>
        <v/>
      </c>
      <c r="I7" s="24">
        <f>IF(H7=0,"",(C7*5+D7*4+E7*3+F7*2+G7*1)/H7)</f>
        <v/>
      </c>
      <c r="J7" s="22">
        <f>IF(I7="","",IF(I7&gt;=4.21,"Strongly Agree",IF(I7&gt;=3.41,"Agree",IF(I7&gt;=2.61,"Neutral",IF(I7&gt;=1.81,"Disagree","Strongly Disagree")))))</f>
        <v/>
      </c>
    </row>
    <row r="8">
      <c r="A8" s="22" t="n">
        <v>3</v>
      </c>
      <c r="B8" s="23" t="inlineStr">
        <is>
          <t>I was able to register and set up my account without difficulty.</t>
        </is>
      </c>
      <c r="C8" s="22">
        <f>COUNTIF('Driver Responses'!$K$6:$K$205,5)</f>
        <v/>
      </c>
      <c r="D8" s="22">
        <f>COUNTIF('Driver Responses'!$K$6:$K$205,4)</f>
        <v/>
      </c>
      <c r="E8" s="22">
        <f>COUNTIF('Driver Responses'!$K$6:$K$205,3)</f>
        <v/>
      </c>
      <c r="F8" s="22">
        <f>COUNTIF('Driver Responses'!$K$6:$K$205,2)</f>
        <v/>
      </c>
      <c r="G8" s="22">
        <f>COUNTIF('Driver Responses'!$K$6:$K$205,1)</f>
        <v/>
      </c>
      <c r="H8" s="22">
        <f>COUNT('Driver Responses'!$K$6:$K$205)</f>
        <v/>
      </c>
      <c r="I8" s="24">
        <f>IF(H8=0,"",(C8*5+D8*4+E8*3+F8*2+G8*1)/H8)</f>
        <v/>
      </c>
      <c r="J8" s="22">
        <f>IF(I8="","",IF(I8&gt;=4.21,"Strongly Agree",IF(I8&gt;=3.41,"Agree",IF(I8&gt;=2.61,"Neutral",IF(I8&gt;=1.81,"Disagree","Strongly Disagree")))))</f>
        <v/>
      </c>
    </row>
    <row r="9">
      <c r="A9" s="22" t="n">
        <v>4</v>
      </c>
      <c r="B9" s="23" t="inlineStr">
        <is>
          <t>The instructions and labels in the system are clear and easy to understand.</t>
        </is>
      </c>
      <c r="C9" s="22">
        <f>COUNTIF('Driver Responses'!$L$6:$L$205,5)</f>
        <v/>
      </c>
      <c r="D9" s="22">
        <f>COUNTIF('Driver Responses'!$L$6:$L$205,4)</f>
        <v/>
      </c>
      <c r="E9" s="22">
        <f>COUNTIF('Driver Responses'!$L$6:$L$205,3)</f>
        <v/>
      </c>
      <c r="F9" s="22">
        <f>COUNTIF('Driver Responses'!$L$6:$L$205,2)</f>
        <v/>
      </c>
      <c r="G9" s="22">
        <f>COUNTIF('Driver Responses'!$L$6:$L$205,1)</f>
        <v/>
      </c>
      <c r="H9" s="22">
        <f>COUNT('Driver Responses'!$L$6:$L$205)</f>
        <v/>
      </c>
      <c r="I9" s="24">
        <f>IF(H9=0,"",(C9*5+D9*4+E9*3+F9*2+G9*1)/H9)</f>
        <v/>
      </c>
      <c r="J9" s="22">
        <f>IF(I9="","",IF(I9&gt;=4.21,"Strongly Agree",IF(I9&gt;=3.41,"Agree",IF(I9&gt;=2.61,"Neutral",IF(I9&gt;=1.81,"Disagree","Strongly Disagree")))))</f>
        <v/>
      </c>
    </row>
    <row r="10">
      <c r="A10" s="22" t="n">
        <v>5</v>
      </c>
      <c r="B10" s="23" t="inlineStr">
        <is>
          <t>I can comfortably use the system without any technical assistance.</t>
        </is>
      </c>
      <c r="C10" s="22">
        <f>COUNTIF('Driver Responses'!$M$6:$M$205,5)</f>
        <v/>
      </c>
      <c r="D10" s="22">
        <f>COUNTIF('Driver Responses'!$M$6:$M$205,4)</f>
        <v/>
      </c>
      <c r="E10" s="22">
        <f>COUNTIF('Driver Responses'!$M$6:$M$205,3)</f>
        <v/>
      </c>
      <c r="F10" s="22">
        <f>COUNTIF('Driver Responses'!$M$6:$M$205,2)</f>
        <v/>
      </c>
      <c r="G10" s="22">
        <f>COUNTIF('Driver Responses'!$M$6:$M$205,1)</f>
        <v/>
      </c>
      <c r="H10" s="22">
        <f>COUNT('Driver Responses'!$M$6:$M$205)</f>
        <v/>
      </c>
      <c r="I10" s="24">
        <f>IF(H10=0,"",(C10*5+D10*4+E10*3+F10*2+G10*1)/H10)</f>
        <v/>
      </c>
      <c r="J10" s="22">
        <f>IF(I10="","",IF(I10&gt;=4.21,"Strongly Agree",IF(I10&gt;=3.41,"Agree",IF(I10&gt;=2.61,"Neutral",IF(I10&gt;=1.81,"Disagree","Strongly Disagree")))))</f>
        <v/>
      </c>
    </row>
    <row r="11">
      <c r="A11" s="25" t="n"/>
      <c r="B11" s="26" t="inlineStr">
        <is>
          <t>Category mean — A. Usability</t>
        </is>
      </c>
      <c r="C11" s="27" t="n"/>
      <c r="D11" s="27" t="n"/>
      <c r="E11" s="27" t="n"/>
      <c r="F11" s="27" t="n"/>
      <c r="G11" s="27" t="n"/>
      <c r="H11" s="27" t="n"/>
      <c r="I11" s="28">
        <f>IFERROR(AVERAGE(I6:I10),"")</f>
        <v/>
      </c>
      <c r="J11" s="29">
        <f>IF(I11="","",IF(I11&gt;=4.21,"Strongly Agree",IF(I11&gt;=3.41,"Agree",IF(I11&gt;=2.61,"Neutral",IF(I11&gt;=1.81,"Disagree","Strongly Disagree")))))</f>
        <v/>
      </c>
    </row>
    <row r="13">
      <c r="A13" s="19" t="inlineStr">
        <is>
          <t>B. Functionality</t>
        </is>
      </c>
      <c r="B13" s="20" t="n"/>
      <c r="C13" s="20" t="n"/>
      <c r="D13" s="20" t="n"/>
      <c r="E13" s="20" t="n"/>
      <c r="F13" s="20" t="n"/>
      <c r="G13" s="20" t="n"/>
      <c r="H13" s="20" t="n"/>
      <c r="I13" s="20" t="n"/>
      <c r="J13" s="21" t="n"/>
    </row>
    <row r="14">
      <c r="A14" s="22" t="n">
        <v>1</v>
      </c>
      <c r="B14" s="23" t="inlineStr">
        <is>
          <t>The ride request feature works as expected.</t>
        </is>
      </c>
      <c r="C14" s="22">
        <f>COUNTIF('Driver Responses'!$N$6:$N$205,5)</f>
        <v/>
      </c>
      <c r="D14" s="22">
        <f>COUNTIF('Driver Responses'!$N$6:$N$205,4)</f>
        <v/>
      </c>
      <c r="E14" s="22">
        <f>COUNTIF('Driver Responses'!$N$6:$N$205,3)</f>
        <v/>
      </c>
      <c r="F14" s="22">
        <f>COUNTIF('Driver Responses'!$N$6:$N$205,2)</f>
        <v/>
      </c>
      <c r="G14" s="22">
        <f>COUNTIF('Driver Responses'!$N$6:$N$205,1)</f>
        <v/>
      </c>
      <c r="H14" s="22">
        <f>COUNT('Driver Responses'!$N$6:$N$205)</f>
        <v/>
      </c>
      <c r="I14" s="24">
        <f>IF(H14=0,"",(C14*5+D14*4+E14*3+F14*2+G14*1)/H14)</f>
        <v/>
      </c>
      <c r="J14" s="22">
        <f>IF(I14="","",IF(I14&gt;=4.21,"Strongly Agree",IF(I14&gt;=3.41,"Agree",IF(I14&gt;=2.61,"Neutral",IF(I14&gt;=1.81,"Disagree","Strongly Disagree")))))</f>
        <v/>
      </c>
    </row>
    <row r="15">
      <c r="A15" s="22" t="n">
        <v>2</v>
      </c>
      <c r="B15" s="23" t="inlineStr">
        <is>
          <t>I receive timely notifications about incoming ride requests.</t>
        </is>
      </c>
      <c r="C15" s="22">
        <f>COUNTIF('Driver Responses'!$O$6:$O$205,5)</f>
        <v/>
      </c>
      <c r="D15" s="22">
        <f>COUNTIF('Driver Responses'!$O$6:$O$205,4)</f>
        <v/>
      </c>
      <c r="E15" s="22">
        <f>COUNTIF('Driver Responses'!$O$6:$O$205,3)</f>
        <v/>
      </c>
      <c r="F15" s="22">
        <f>COUNTIF('Driver Responses'!$O$6:$O$205,2)</f>
        <v/>
      </c>
      <c r="G15" s="22">
        <f>COUNTIF('Driver Responses'!$O$6:$O$205,1)</f>
        <v/>
      </c>
      <c r="H15" s="22">
        <f>COUNT('Driver Responses'!$O$6:$O$205)</f>
        <v/>
      </c>
      <c r="I15" s="24">
        <f>IF(H15=0,"",(C15*5+D15*4+E15*3+F15*2+G15*1)/H15)</f>
        <v/>
      </c>
      <c r="J15" s="22">
        <f>IF(I15="","",IF(I15&gt;=4.21,"Strongly Agree",IF(I15&gt;=3.41,"Agree",IF(I15&gt;=2.61,"Neutral",IF(I15&gt;=1.81,"Disagree","Strongly Disagree")))))</f>
        <v/>
      </c>
    </row>
    <row r="16">
      <c r="A16" s="22" t="n">
        <v>3</v>
      </c>
      <c r="B16" s="23" t="inlineStr">
        <is>
          <t>The system accurately shows my availability status to passengers.</t>
        </is>
      </c>
      <c r="C16" s="22">
        <f>COUNTIF('Driver Responses'!$P$6:$P$205,5)</f>
        <v/>
      </c>
      <c r="D16" s="22">
        <f>COUNTIF('Driver Responses'!$P$6:$P$205,4)</f>
        <v/>
      </c>
      <c r="E16" s="22">
        <f>COUNTIF('Driver Responses'!$P$6:$P$205,3)</f>
        <v/>
      </c>
      <c r="F16" s="22">
        <f>COUNTIF('Driver Responses'!$P$6:$P$205,2)</f>
        <v/>
      </c>
      <c r="G16" s="22">
        <f>COUNTIF('Driver Responses'!$P$6:$P$205,1)</f>
        <v/>
      </c>
      <c r="H16" s="22">
        <f>COUNT('Driver Responses'!$P$6:$P$205)</f>
        <v/>
      </c>
      <c r="I16" s="24">
        <f>IF(H16=0,"",(C16*5+D16*4+E16*3+F16*2+G16*1)/H16)</f>
        <v/>
      </c>
      <c r="J16" s="22">
        <f>IF(I16="","",IF(I16&gt;=4.21,"Strongly Agree",IF(I16&gt;=3.41,"Agree",IF(I16&gt;=2.61,"Neutral",IF(I16&gt;=1.81,"Disagree","Strongly Disagree")))))</f>
        <v/>
      </c>
    </row>
    <row r="17">
      <c r="A17" s="22" t="n">
        <v>4</v>
      </c>
      <c r="B17" s="23" t="inlineStr">
        <is>
          <t>I can manage and track my rides through the system in real time.</t>
        </is>
      </c>
      <c r="C17" s="22">
        <f>COUNTIF('Driver Responses'!$Q$6:$Q$205,5)</f>
        <v/>
      </c>
      <c r="D17" s="22">
        <f>COUNTIF('Driver Responses'!$Q$6:$Q$205,4)</f>
        <v/>
      </c>
      <c r="E17" s="22">
        <f>COUNTIF('Driver Responses'!$Q$6:$Q$205,3)</f>
        <v/>
      </c>
      <c r="F17" s="22">
        <f>COUNTIF('Driver Responses'!$Q$6:$Q$205,2)</f>
        <v/>
      </c>
      <c r="G17" s="22">
        <f>COUNTIF('Driver Responses'!$Q$6:$Q$205,1)</f>
        <v/>
      </c>
      <c r="H17" s="22">
        <f>COUNT('Driver Responses'!$Q$6:$Q$205)</f>
        <v/>
      </c>
      <c r="I17" s="24">
        <f>IF(H17=0,"",(C17*5+D17*4+E17*3+F17*2+G17*1)/H17)</f>
        <v/>
      </c>
      <c r="J17" s="22">
        <f>IF(I17="","",IF(I17&gt;=4.21,"Strongly Agree",IF(I17&gt;=3.41,"Agree",IF(I17&gt;=2.61,"Neutral",IF(I17&gt;=1.81,"Disagree","Strongly Disagree")))))</f>
        <v/>
      </c>
    </row>
    <row r="18">
      <c r="A18" s="22" t="n">
        <v>5</v>
      </c>
      <c r="B18" s="23" t="inlineStr">
        <is>
          <t>The system performs all its intended functions correctly.</t>
        </is>
      </c>
      <c r="C18" s="22">
        <f>COUNTIF('Driver Responses'!$R$6:$R$205,5)</f>
        <v/>
      </c>
      <c r="D18" s="22">
        <f>COUNTIF('Driver Responses'!$R$6:$R$205,4)</f>
        <v/>
      </c>
      <c r="E18" s="22">
        <f>COUNTIF('Driver Responses'!$R$6:$R$205,3)</f>
        <v/>
      </c>
      <c r="F18" s="22">
        <f>COUNTIF('Driver Responses'!$R$6:$R$205,2)</f>
        <v/>
      </c>
      <c r="G18" s="22">
        <f>COUNTIF('Driver Responses'!$R$6:$R$205,1)</f>
        <v/>
      </c>
      <c r="H18" s="22">
        <f>COUNT('Driver Responses'!$R$6:$R$205)</f>
        <v/>
      </c>
      <c r="I18" s="24">
        <f>IF(H18=0,"",(C18*5+D18*4+E18*3+F18*2+G18*1)/H18)</f>
        <v/>
      </c>
      <c r="J18" s="22">
        <f>IF(I18="","",IF(I18&gt;=4.21,"Strongly Agree",IF(I18&gt;=3.41,"Agree",IF(I18&gt;=2.61,"Neutral",IF(I18&gt;=1.81,"Disagree","Strongly Disagree")))))</f>
        <v/>
      </c>
    </row>
    <row r="19">
      <c r="A19" s="25" t="n"/>
      <c r="B19" s="26" t="inlineStr">
        <is>
          <t>Category mean — B. Functionality</t>
        </is>
      </c>
      <c r="C19" s="27" t="n"/>
      <c r="D19" s="27" t="n"/>
      <c r="E19" s="27" t="n"/>
      <c r="F19" s="27" t="n"/>
      <c r="G19" s="27" t="n"/>
      <c r="H19" s="27" t="n"/>
      <c r="I19" s="28">
        <f>IFERROR(AVERAGE(I14:I18),"")</f>
        <v/>
      </c>
      <c r="J19" s="29">
        <f>IF(I19="","",IF(I19&gt;=4.21,"Strongly Agree",IF(I19&gt;=3.41,"Agree",IF(I19&gt;=2.61,"Neutral",IF(I19&gt;=1.81,"Disagree","Strongly Disagree")))))</f>
        <v/>
      </c>
    </row>
    <row r="21">
      <c r="A21" s="19" t="inlineStr">
        <is>
          <t>C. Efficiency</t>
        </is>
      </c>
      <c r="B21" s="20" t="n"/>
      <c r="C21" s="20" t="n"/>
      <c r="D21" s="20" t="n"/>
      <c r="E21" s="20" t="n"/>
      <c r="F21" s="20" t="n"/>
      <c r="G21" s="20" t="n"/>
      <c r="H21" s="20" t="n"/>
      <c r="I21" s="20" t="n"/>
      <c r="J21" s="21" t="n"/>
    </row>
    <row r="22">
      <c r="A22" s="22" t="n">
        <v>1</v>
      </c>
      <c r="B22" s="23" t="inlineStr">
        <is>
          <t>The system reduces my idle time waiting for passengers.</t>
        </is>
      </c>
      <c r="C22" s="22">
        <f>COUNTIF('Driver Responses'!$S$6:$S$205,5)</f>
        <v/>
      </c>
      <c r="D22" s="22">
        <f>COUNTIF('Driver Responses'!$S$6:$S$205,4)</f>
        <v/>
      </c>
      <c r="E22" s="22">
        <f>COUNTIF('Driver Responses'!$S$6:$S$205,3)</f>
        <v/>
      </c>
      <c r="F22" s="22">
        <f>COUNTIF('Driver Responses'!$S$6:$S$205,2)</f>
        <v/>
      </c>
      <c r="G22" s="22">
        <f>COUNTIF('Driver Responses'!$S$6:$S$205,1)</f>
        <v/>
      </c>
      <c r="H22" s="22">
        <f>COUNT('Driver Responses'!$S$6:$S$205)</f>
        <v/>
      </c>
      <c r="I22" s="24">
        <f>IF(H22=0,"",(C22*5+D22*4+E22*3+F22*2+G22*1)/H22)</f>
        <v/>
      </c>
      <c r="J22" s="22">
        <f>IF(I22="","",IF(I22&gt;=4.21,"Strongly Agree",IF(I22&gt;=3.41,"Agree",IF(I22&gt;=2.61,"Neutral",IF(I22&gt;=1.81,"Disagree","Strongly Disagree")))))</f>
        <v/>
      </c>
    </row>
    <row r="23">
      <c r="A23" s="22" t="n">
        <v>2</v>
      </c>
      <c r="B23" s="23" t="inlineStr">
        <is>
          <t>Managing ride requests through the system is faster than the manual process.</t>
        </is>
      </c>
      <c r="C23" s="22">
        <f>COUNTIF('Driver Responses'!$T$6:$T$205,5)</f>
        <v/>
      </c>
      <c r="D23" s="22">
        <f>COUNTIF('Driver Responses'!$T$6:$T$205,4)</f>
        <v/>
      </c>
      <c r="E23" s="22">
        <f>COUNTIF('Driver Responses'!$T$6:$T$205,3)</f>
        <v/>
      </c>
      <c r="F23" s="22">
        <f>COUNTIF('Driver Responses'!$T$6:$T$205,2)</f>
        <v/>
      </c>
      <c r="G23" s="22">
        <f>COUNTIF('Driver Responses'!$T$6:$T$205,1)</f>
        <v/>
      </c>
      <c r="H23" s="22">
        <f>COUNT('Driver Responses'!$T$6:$T$205)</f>
        <v/>
      </c>
      <c r="I23" s="24">
        <f>IF(H23=0,"",(C23*5+D23*4+E23*3+F23*2+G23*1)/H23)</f>
        <v/>
      </c>
      <c r="J23" s="22">
        <f>IF(I23="","",IF(I23&gt;=4.21,"Strongly Agree",IF(I23&gt;=3.41,"Agree",IF(I23&gt;=2.61,"Neutral",IF(I23&gt;=1.81,"Disagree","Strongly Disagree")))))</f>
        <v/>
      </c>
    </row>
    <row r="24">
      <c r="A24" s="22" t="n">
        <v>3</v>
      </c>
      <c r="B24" s="23" t="inlineStr">
        <is>
          <t>The system responds quickly to my inputs and actions.</t>
        </is>
      </c>
      <c r="C24" s="22">
        <f>COUNTIF('Driver Responses'!$U$6:$U$205,5)</f>
        <v/>
      </c>
      <c r="D24" s="22">
        <f>COUNTIF('Driver Responses'!$U$6:$U$205,4)</f>
        <v/>
      </c>
      <c r="E24" s="22">
        <f>COUNTIF('Driver Responses'!$U$6:$U$205,3)</f>
        <v/>
      </c>
      <c r="F24" s="22">
        <f>COUNTIF('Driver Responses'!$U$6:$U$205,2)</f>
        <v/>
      </c>
      <c r="G24" s="22">
        <f>COUNTIF('Driver Responses'!$U$6:$U$205,1)</f>
        <v/>
      </c>
      <c r="H24" s="22">
        <f>COUNT('Driver Responses'!$U$6:$U$205)</f>
        <v/>
      </c>
      <c r="I24" s="24">
        <f>IF(H24=0,"",(C24*5+D24*4+E24*3+F24*2+G24*1)/H24)</f>
        <v/>
      </c>
      <c r="J24" s="22">
        <f>IF(I24="","",IF(I24&gt;=4.21,"Strongly Agree",IF(I24&gt;=3.41,"Agree",IF(I24&gt;=2.61,"Neutral",IF(I24&gt;=1.81,"Disagree","Strongly Disagree")))))</f>
        <v/>
      </c>
    </row>
    <row r="25">
      <c r="A25" s="22" t="n">
        <v>4</v>
      </c>
      <c r="B25" s="23" t="inlineStr">
        <is>
          <t>The system helps me serve more passengers throughout the day.</t>
        </is>
      </c>
      <c r="C25" s="22">
        <f>COUNTIF('Driver Responses'!$V$6:$V$205,5)</f>
        <v/>
      </c>
      <c r="D25" s="22">
        <f>COUNTIF('Driver Responses'!$V$6:$V$205,4)</f>
        <v/>
      </c>
      <c r="E25" s="22">
        <f>COUNTIF('Driver Responses'!$V$6:$V$205,3)</f>
        <v/>
      </c>
      <c r="F25" s="22">
        <f>COUNTIF('Driver Responses'!$V$6:$V$205,2)</f>
        <v/>
      </c>
      <c r="G25" s="22">
        <f>COUNTIF('Driver Responses'!$V$6:$V$205,1)</f>
        <v/>
      </c>
      <c r="H25" s="22">
        <f>COUNT('Driver Responses'!$V$6:$V$205)</f>
        <v/>
      </c>
      <c r="I25" s="24">
        <f>IF(H25=0,"",(C25*5+D25*4+E25*3+F25*2+G25*1)/H25)</f>
        <v/>
      </c>
      <c r="J25" s="22">
        <f>IF(I25="","",IF(I25&gt;=4.21,"Strongly Agree",IF(I25&gt;=3.41,"Agree",IF(I25&gt;=2.61,"Neutral",IF(I25&gt;=1.81,"Disagree","Strongly Disagree")))))</f>
        <v/>
      </c>
    </row>
    <row r="26">
      <c r="A26" s="22" t="n">
        <v>5</v>
      </c>
      <c r="B26" s="23" t="inlineStr">
        <is>
          <t>Overall, the system improves my daily work experience as a driver.</t>
        </is>
      </c>
      <c r="C26" s="22">
        <f>COUNTIF('Driver Responses'!$W$6:$W$205,5)</f>
        <v/>
      </c>
      <c r="D26" s="22">
        <f>COUNTIF('Driver Responses'!$W$6:$W$205,4)</f>
        <v/>
      </c>
      <c r="E26" s="22">
        <f>COUNTIF('Driver Responses'!$W$6:$W$205,3)</f>
        <v/>
      </c>
      <c r="F26" s="22">
        <f>COUNTIF('Driver Responses'!$W$6:$W$205,2)</f>
        <v/>
      </c>
      <c r="G26" s="22">
        <f>COUNTIF('Driver Responses'!$W$6:$W$205,1)</f>
        <v/>
      </c>
      <c r="H26" s="22">
        <f>COUNT('Driver Responses'!$W$6:$W$205)</f>
        <v/>
      </c>
      <c r="I26" s="24">
        <f>IF(H26=0,"",(C26*5+D26*4+E26*3+F26*2+G26*1)/H26)</f>
        <v/>
      </c>
      <c r="J26" s="22">
        <f>IF(I26="","",IF(I26&gt;=4.21,"Strongly Agree",IF(I26&gt;=3.41,"Agree",IF(I26&gt;=2.61,"Neutral",IF(I26&gt;=1.81,"Disagree","Strongly Disagree")))))</f>
        <v/>
      </c>
    </row>
    <row r="27">
      <c r="A27" s="25" t="n"/>
      <c r="B27" s="26" t="inlineStr">
        <is>
          <t>Category mean — C. Efficiency</t>
        </is>
      </c>
      <c r="C27" s="27" t="n"/>
      <c r="D27" s="27" t="n"/>
      <c r="E27" s="27" t="n"/>
      <c r="F27" s="27" t="n"/>
      <c r="G27" s="27" t="n"/>
      <c r="H27" s="27" t="n"/>
      <c r="I27" s="28">
        <f>IFERROR(AVERAGE(I22:I26),"")</f>
        <v/>
      </c>
      <c r="J27" s="29">
        <f>IF(I27="","",IF(I27&gt;=4.21,"Strongly Agree",IF(I27&gt;=3.41,"Agree",IF(I27&gt;=2.61,"Neutral",IF(I27&gt;=1.81,"Disagree","Strongly Disagree")))))</f>
        <v/>
      </c>
    </row>
    <row r="29">
      <c r="A29" s="19" t="inlineStr">
        <is>
          <t>D. Reliability</t>
        </is>
      </c>
      <c r="B29" s="20" t="n"/>
      <c r="C29" s="20" t="n"/>
      <c r="D29" s="20" t="n"/>
      <c r="E29" s="20" t="n"/>
      <c r="F29" s="20" t="n"/>
      <c r="G29" s="20" t="n"/>
      <c r="H29" s="20" t="n"/>
      <c r="I29" s="20" t="n"/>
      <c r="J29" s="21" t="n"/>
    </row>
    <row r="30">
      <c r="A30" s="22" t="n">
        <v>1</v>
      </c>
      <c r="B30" s="23" t="inlineStr">
        <is>
          <t>The system works consistently without errors or crashes.</t>
        </is>
      </c>
      <c r="C30" s="22">
        <f>COUNTIF('Driver Responses'!$X$6:$X$205,5)</f>
        <v/>
      </c>
      <c r="D30" s="22">
        <f>COUNTIF('Driver Responses'!$X$6:$X$205,4)</f>
        <v/>
      </c>
      <c r="E30" s="22">
        <f>COUNTIF('Driver Responses'!$X$6:$X$205,3)</f>
        <v/>
      </c>
      <c r="F30" s="22">
        <f>COUNTIF('Driver Responses'!$X$6:$X$205,2)</f>
        <v/>
      </c>
      <c r="G30" s="22">
        <f>COUNTIF('Driver Responses'!$X$6:$X$205,1)</f>
        <v/>
      </c>
      <c r="H30" s="22">
        <f>COUNT('Driver Responses'!$X$6:$X$205)</f>
        <v/>
      </c>
      <c r="I30" s="24">
        <f>IF(H30=0,"",(C30*5+D30*4+E30*3+F30*2+G30*1)/H30)</f>
        <v/>
      </c>
      <c r="J30" s="22">
        <f>IF(I30="","",IF(I30&gt;=4.21,"Strongly Agree",IF(I30&gt;=3.41,"Agree",IF(I30&gt;=2.61,"Neutral",IF(I30&gt;=1.81,"Disagree","Strongly Disagree")))))</f>
        <v/>
      </c>
    </row>
    <row r="31">
      <c r="A31" s="22" t="n">
        <v>2</v>
      </c>
      <c r="B31" s="23" t="inlineStr">
        <is>
          <t>I can depend on the system to deliver ride requests accurately.</t>
        </is>
      </c>
      <c r="C31" s="22">
        <f>COUNTIF('Driver Responses'!$Y$6:$Y$205,5)</f>
        <v/>
      </c>
      <c r="D31" s="22">
        <f>COUNTIF('Driver Responses'!$Y$6:$Y$205,4)</f>
        <v/>
      </c>
      <c r="E31" s="22">
        <f>COUNTIF('Driver Responses'!$Y$6:$Y$205,3)</f>
        <v/>
      </c>
      <c r="F31" s="22">
        <f>COUNTIF('Driver Responses'!$Y$6:$Y$205,2)</f>
        <v/>
      </c>
      <c r="G31" s="22">
        <f>COUNTIF('Driver Responses'!$Y$6:$Y$205,1)</f>
        <v/>
      </c>
      <c r="H31" s="22">
        <f>COUNT('Driver Responses'!$Y$6:$Y$205)</f>
        <v/>
      </c>
      <c r="I31" s="24">
        <f>IF(H31=0,"",(C31*5+D31*4+E31*3+F31*2+G31*1)/H31)</f>
        <v/>
      </c>
      <c r="J31" s="22">
        <f>IF(I31="","",IF(I31&gt;=4.21,"Strongly Agree",IF(I31&gt;=3.41,"Agree",IF(I31&gt;=2.61,"Neutral",IF(I31&gt;=1.81,"Disagree","Strongly Disagree")))))</f>
        <v/>
      </c>
    </row>
    <row r="32">
      <c r="A32" s="22" t="n">
        <v>3</v>
      </c>
      <c r="B32" s="23" t="inlineStr">
        <is>
          <t>The system maintains accurate and up-to-date information.</t>
        </is>
      </c>
      <c r="C32" s="22">
        <f>COUNTIF('Driver Responses'!$Z$6:$Z$205,5)</f>
        <v/>
      </c>
      <c r="D32" s="22">
        <f>COUNTIF('Driver Responses'!$Z$6:$Z$205,4)</f>
        <v/>
      </c>
      <c r="E32" s="22">
        <f>COUNTIF('Driver Responses'!$Z$6:$Z$205,3)</f>
        <v/>
      </c>
      <c r="F32" s="22">
        <f>COUNTIF('Driver Responses'!$Z$6:$Z$205,2)</f>
        <v/>
      </c>
      <c r="G32" s="22">
        <f>COUNTIF('Driver Responses'!$Z$6:$Z$205,1)</f>
        <v/>
      </c>
      <c r="H32" s="22">
        <f>COUNT('Driver Responses'!$Z$6:$Z$205)</f>
        <v/>
      </c>
      <c r="I32" s="24">
        <f>IF(H32=0,"",(C32*5+D32*4+E32*3+F32*2+G32*1)/H32)</f>
        <v/>
      </c>
      <c r="J32" s="22">
        <f>IF(I32="","",IF(I32&gt;=4.21,"Strongly Agree",IF(I32&gt;=3.41,"Agree",IF(I32&gt;=2.61,"Neutral",IF(I32&gt;=1.81,"Disagree","Strongly Disagree")))))</f>
        <v/>
      </c>
    </row>
    <row r="33">
      <c r="A33" s="22" t="n">
        <v>4</v>
      </c>
      <c r="B33" s="23" t="inlineStr">
        <is>
          <t>The system performs well even during busy hours.</t>
        </is>
      </c>
      <c r="C33" s="22">
        <f>COUNTIF('Driver Responses'!$AA$6:$AA$205,5)</f>
        <v/>
      </c>
      <c r="D33" s="22">
        <f>COUNTIF('Driver Responses'!$AA$6:$AA$205,4)</f>
        <v/>
      </c>
      <c r="E33" s="22">
        <f>COUNTIF('Driver Responses'!$AA$6:$AA$205,3)</f>
        <v/>
      </c>
      <c r="F33" s="22">
        <f>COUNTIF('Driver Responses'!$AA$6:$AA$205,2)</f>
        <v/>
      </c>
      <c r="G33" s="22">
        <f>COUNTIF('Driver Responses'!$AA$6:$AA$205,1)</f>
        <v/>
      </c>
      <c r="H33" s="22">
        <f>COUNT('Driver Responses'!$AA$6:$AA$205)</f>
        <v/>
      </c>
      <c r="I33" s="24">
        <f>IF(H33=0,"",(C33*5+D33*4+E33*3+F33*2+G33*1)/H33)</f>
        <v/>
      </c>
      <c r="J33" s="22">
        <f>IF(I33="","",IF(I33&gt;=4.21,"Strongly Agree",IF(I33&gt;=3.41,"Agree",IF(I33&gt;=2.61,"Neutral",IF(I33&gt;=1.81,"Disagree","Strongly Disagree")))))</f>
        <v/>
      </c>
    </row>
    <row r="34">
      <c r="A34" s="22" t="n">
        <v>5</v>
      </c>
      <c r="B34" s="23" t="inlineStr">
        <is>
          <t>I trust the system to support my work as a registered driver.</t>
        </is>
      </c>
      <c r="C34" s="22">
        <f>COUNTIF('Driver Responses'!$AB$6:$AB$205,5)</f>
        <v/>
      </c>
      <c r="D34" s="22">
        <f>COUNTIF('Driver Responses'!$AB$6:$AB$205,4)</f>
        <v/>
      </c>
      <c r="E34" s="22">
        <f>COUNTIF('Driver Responses'!$AB$6:$AB$205,3)</f>
        <v/>
      </c>
      <c r="F34" s="22">
        <f>COUNTIF('Driver Responses'!$AB$6:$AB$205,2)</f>
        <v/>
      </c>
      <c r="G34" s="22">
        <f>COUNTIF('Driver Responses'!$AB$6:$AB$205,1)</f>
        <v/>
      </c>
      <c r="H34" s="22">
        <f>COUNT('Driver Responses'!$AB$6:$AB$205)</f>
        <v/>
      </c>
      <c r="I34" s="24">
        <f>IF(H34=0,"",(C34*5+D34*4+E34*3+F34*2+G34*1)/H34)</f>
        <v/>
      </c>
      <c r="J34" s="22">
        <f>IF(I34="","",IF(I34&gt;=4.21,"Strongly Agree",IF(I34&gt;=3.41,"Agree",IF(I34&gt;=2.61,"Neutral",IF(I34&gt;=1.81,"Disagree","Strongly Disagree")))))</f>
        <v/>
      </c>
    </row>
    <row r="35">
      <c r="A35" s="25" t="n"/>
      <c r="B35" s="26" t="inlineStr">
        <is>
          <t>Category mean — D. Reliability</t>
        </is>
      </c>
      <c r="C35" s="27" t="n"/>
      <c r="D35" s="27" t="n"/>
      <c r="E35" s="27" t="n"/>
      <c r="F35" s="27" t="n"/>
      <c r="G35" s="27" t="n"/>
      <c r="H35" s="27" t="n"/>
      <c r="I35" s="28">
        <f>IFERROR(AVERAGE(I30:I34),"")</f>
        <v/>
      </c>
      <c r="J35" s="29">
        <f>IF(I35="","",IF(I35&gt;=4.21,"Strongly Agree",IF(I35&gt;=3.41,"Agree",IF(I35&gt;=2.61,"Neutral",IF(I35&gt;=1.81,"Disagree","Strongly Disagree")))))</f>
        <v/>
      </c>
    </row>
    <row r="37">
      <c r="A37" s="30" t="n"/>
      <c r="B37" s="31" t="inlineStr">
        <is>
          <t>OVERALL WEIGHTED MEAN</t>
        </is>
      </c>
      <c r="C37" s="32" t="n"/>
      <c r="D37" s="32" t="n"/>
      <c r="E37" s="32" t="n"/>
      <c r="F37" s="32" t="n"/>
      <c r="G37" s="32" t="n"/>
      <c r="H37" s="32" t="n"/>
      <c r="I37" s="33">
        <f>IFERROR(AVERAGE(I11,I19,I27,I35),"")</f>
        <v/>
      </c>
      <c r="J37" s="34">
        <f>IF(I37="","",IF(I37&gt;=4.21,"Strongly Agree",IF(I37&gt;=3.41,"Agree",IF(I37&gt;=2.61,"Neutral",IF(I37&gt;=1.81,"Disagree","Strongly Disagree")))))</f>
        <v/>
      </c>
    </row>
    <row r="39" ht="28" customHeight="1">
      <c r="B39" s="11" t="inlineStr">
        <is>
          <t>The overall mean averages the category means, so each characteristic counts equally regardless of how many items it has. Average column I of the items instead if your statistician wants every item weighted equally.</t>
        </is>
      </c>
    </row>
  </sheetData>
  <mergeCells count="5">
    <mergeCell ref="A5:J5"/>
    <mergeCell ref="A21:J21"/>
    <mergeCell ref="A29:J29"/>
    <mergeCell ref="B39:J39"/>
    <mergeCell ref="A13:J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3"/>
  <sheetViews>
    <sheetView showGridLines="0" workbookViewId="0">
      <pane ySplit="4" topLeftCell="A5" activePane="bottomLeft" state="frozen"/>
      <selection pane="bottomLeft" activeCell="A1" sqref="A1"/>
    </sheetView>
  </sheetViews>
  <sheetFormatPr baseColWidth="8" defaultRowHeight="15"/>
  <cols>
    <col width="4" customWidth="1" min="1" max="1"/>
    <col width="58" customWidth="1" min="2" max="2"/>
    <col width="7" customWidth="1" min="3" max="3"/>
    <col width="7" customWidth="1" min="4" max="4"/>
    <col width="7" customWidth="1" min="5" max="5"/>
    <col width="7" customWidth="1" min="6" max="6"/>
    <col width="7" customWidth="1" min="7" max="7"/>
    <col width="8" customWidth="1" min="8" max="8"/>
    <col width="15" customWidth="1" min="9" max="9"/>
    <col width="20" customWidth="1" min="10" max="10"/>
  </cols>
  <sheetData>
    <row r="1">
      <c r="A1" s="10" t="inlineStr">
        <is>
          <t>Tally - Admin</t>
        </is>
      </c>
    </row>
    <row r="2">
      <c r="A2" s="11" t="inlineStr">
        <is>
          <t>Every figure is a formula reading 'Admin Responses' rows 6-205. Nothing on this sheet needs typing.</t>
        </is>
      </c>
    </row>
    <row r="4" ht="26" customHeight="1">
      <c r="A4" s="18" t="inlineStr">
        <is>
          <t>#</t>
        </is>
      </c>
      <c r="B4" s="18" t="inlineStr">
        <is>
          <t>Indicator</t>
        </is>
      </c>
      <c r="C4" s="18" t="inlineStr">
        <is>
          <t>5</t>
        </is>
      </c>
      <c r="D4" s="18" t="inlineStr">
        <is>
          <t>4</t>
        </is>
      </c>
      <c r="E4" s="18" t="inlineStr">
        <is>
          <t>3</t>
        </is>
      </c>
      <c r="F4" s="18" t="inlineStr">
        <is>
          <t>2</t>
        </is>
      </c>
      <c r="G4" s="18" t="inlineStr">
        <is>
          <t>1</t>
        </is>
      </c>
      <c r="H4" s="18" t="inlineStr">
        <is>
          <t>N</t>
        </is>
      </c>
      <c r="I4" s="18" t="inlineStr">
        <is>
          <t>Weighted Mean</t>
        </is>
      </c>
      <c r="J4" s="18" t="inlineStr">
        <is>
          <t>Interpretation</t>
        </is>
      </c>
    </row>
    <row r="5">
      <c r="A5" s="19" t="inlineStr">
        <is>
          <t>A. Functional Suitability</t>
        </is>
      </c>
      <c r="B5" s="20" t="n"/>
      <c r="C5" s="20" t="n"/>
      <c r="D5" s="20" t="n"/>
      <c r="E5" s="20" t="n"/>
      <c r="F5" s="20" t="n"/>
      <c r="G5" s="20" t="n"/>
      <c r="H5" s="20" t="n"/>
      <c r="I5" s="20" t="n"/>
      <c r="J5" s="21" t="n"/>
    </row>
    <row r="6">
      <c r="A6" s="22" t="n">
        <v>1</v>
      </c>
      <c r="B6" s="23" t="inlineStr">
        <is>
          <t>I can approve driver applications.</t>
        </is>
      </c>
      <c r="C6" s="22">
        <f>COUNTIF('Admin Responses'!$E$6:$E$205,5)</f>
        <v/>
      </c>
      <c r="D6" s="22">
        <f>COUNTIF('Admin Responses'!$E$6:$E$205,4)</f>
        <v/>
      </c>
      <c r="E6" s="22">
        <f>COUNTIF('Admin Responses'!$E$6:$E$205,3)</f>
        <v/>
      </c>
      <c r="F6" s="22">
        <f>COUNTIF('Admin Responses'!$E$6:$E$205,2)</f>
        <v/>
      </c>
      <c r="G6" s="22">
        <f>COUNTIF('Admin Responses'!$E$6:$E$205,1)</f>
        <v/>
      </c>
      <c r="H6" s="22">
        <f>COUNT('Admin Responses'!$E$6:$E$205)</f>
        <v/>
      </c>
      <c r="I6" s="24">
        <f>IF(H6=0,"",(C6*5+D6*4+E6*3+F6*2+G6*1)/H6)</f>
        <v/>
      </c>
      <c r="J6" s="22">
        <f>IF(I6="","",IF(I6&gt;=4.21,"Strongly Agree",IF(I6&gt;=3.41,"Agree",IF(I6&gt;=2.61,"Neutral",IF(I6&gt;=1.81,"Disagree","Strongly Disagree")))))</f>
        <v/>
      </c>
    </row>
    <row r="7">
      <c r="A7" s="22" t="n">
        <v>2</v>
      </c>
      <c r="B7" s="23" t="inlineStr">
        <is>
          <t>I can monitor ride activities.</t>
        </is>
      </c>
      <c r="C7" s="22">
        <f>COUNTIF('Admin Responses'!$F$6:$F$205,5)</f>
        <v/>
      </c>
      <c r="D7" s="22">
        <f>COUNTIF('Admin Responses'!$F$6:$F$205,4)</f>
        <v/>
      </c>
      <c r="E7" s="22">
        <f>COUNTIF('Admin Responses'!$F$6:$F$205,3)</f>
        <v/>
      </c>
      <c r="F7" s="22">
        <f>COUNTIF('Admin Responses'!$F$6:$F$205,2)</f>
        <v/>
      </c>
      <c r="G7" s="22">
        <f>COUNTIF('Admin Responses'!$F$6:$F$205,1)</f>
        <v/>
      </c>
      <c r="H7" s="22">
        <f>COUNT('Admin Responses'!$F$6:$F$205)</f>
        <v/>
      </c>
      <c r="I7" s="24">
        <f>IF(H7=0,"",(C7*5+D7*4+E7*3+F7*2+G7*1)/H7)</f>
        <v/>
      </c>
      <c r="J7" s="22">
        <f>IF(I7="","",IF(I7&gt;=4.21,"Strongly Agree",IF(I7&gt;=3.41,"Agree",IF(I7&gt;=2.61,"Neutral",IF(I7&gt;=1.81,"Disagree","Strongly Disagree")))))</f>
        <v/>
      </c>
    </row>
    <row r="8">
      <c r="A8" s="22" t="n">
        <v>3</v>
      </c>
      <c r="B8" s="23" t="inlineStr">
        <is>
          <t>I can manage user accounts.</t>
        </is>
      </c>
      <c r="C8" s="22">
        <f>COUNTIF('Admin Responses'!$G$6:$G$205,5)</f>
        <v/>
      </c>
      <c r="D8" s="22">
        <f>COUNTIF('Admin Responses'!$G$6:$G$205,4)</f>
        <v/>
      </c>
      <c r="E8" s="22">
        <f>COUNTIF('Admin Responses'!$G$6:$G$205,3)</f>
        <v/>
      </c>
      <c r="F8" s="22">
        <f>COUNTIF('Admin Responses'!$G$6:$G$205,2)</f>
        <v/>
      </c>
      <c r="G8" s="22">
        <f>COUNTIF('Admin Responses'!$G$6:$G$205,1)</f>
        <v/>
      </c>
      <c r="H8" s="22">
        <f>COUNT('Admin Responses'!$G$6:$G$205)</f>
        <v/>
      </c>
      <c r="I8" s="24">
        <f>IF(H8=0,"",(C8*5+D8*4+E8*3+F8*2+G8*1)/H8)</f>
        <v/>
      </c>
      <c r="J8" s="22">
        <f>IF(I8="","",IF(I8&gt;=4.21,"Strongly Agree",IF(I8&gt;=3.41,"Agree",IF(I8&gt;=2.61,"Neutral",IF(I8&gt;=1.81,"Disagree","Strongly Disagree")))))</f>
        <v/>
      </c>
    </row>
    <row r="9">
      <c r="A9" s="25" t="n"/>
      <c r="B9" s="26" t="inlineStr">
        <is>
          <t>Category mean — A. Functional Suitability</t>
        </is>
      </c>
      <c r="C9" s="27" t="n"/>
      <c r="D9" s="27" t="n"/>
      <c r="E9" s="27" t="n"/>
      <c r="F9" s="27" t="n"/>
      <c r="G9" s="27" t="n"/>
      <c r="H9" s="27" t="n"/>
      <c r="I9" s="28">
        <f>IFERROR(AVERAGE(I6:I8),"")</f>
        <v/>
      </c>
      <c r="J9" s="29">
        <f>IF(I9="","",IF(I9&gt;=4.21,"Strongly Agree",IF(I9&gt;=3.41,"Agree",IF(I9&gt;=2.61,"Neutral",IF(I9&gt;=1.81,"Disagree","Strongly Disagree")))))</f>
        <v/>
      </c>
    </row>
    <row r="11">
      <c r="A11" s="19" t="inlineStr">
        <is>
          <t>B. Usability</t>
        </is>
      </c>
      <c r="B11" s="20" t="n"/>
      <c r="C11" s="20" t="n"/>
      <c r="D11" s="20" t="n"/>
      <c r="E11" s="20" t="n"/>
      <c r="F11" s="20" t="n"/>
      <c r="G11" s="20" t="n"/>
      <c r="H11" s="20" t="n"/>
      <c r="I11" s="20" t="n"/>
      <c r="J11" s="21" t="n"/>
    </row>
    <row r="12">
      <c r="A12" s="22" t="n">
        <v>1</v>
      </c>
      <c r="B12" s="23" t="inlineStr">
        <is>
          <t>The dashboard is easy to use.</t>
        </is>
      </c>
      <c r="C12" s="22">
        <f>COUNTIF('Admin Responses'!$H$6:$H$205,5)</f>
        <v/>
      </c>
      <c r="D12" s="22">
        <f>COUNTIF('Admin Responses'!$H$6:$H$205,4)</f>
        <v/>
      </c>
      <c r="E12" s="22">
        <f>COUNTIF('Admin Responses'!$H$6:$H$205,3)</f>
        <v/>
      </c>
      <c r="F12" s="22">
        <f>COUNTIF('Admin Responses'!$H$6:$H$205,2)</f>
        <v/>
      </c>
      <c r="G12" s="22">
        <f>COUNTIF('Admin Responses'!$H$6:$H$205,1)</f>
        <v/>
      </c>
      <c r="H12" s="22">
        <f>COUNT('Admin Responses'!$H$6:$H$205)</f>
        <v/>
      </c>
      <c r="I12" s="24">
        <f>IF(H12=0,"",(C12*5+D12*4+E12*3+F12*2+G12*1)/H12)</f>
        <v/>
      </c>
      <c r="J12" s="22">
        <f>IF(I12="","",IF(I12&gt;=4.21,"Strongly Agree",IF(I12&gt;=3.41,"Agree",IF(I12&gt;=2.61,"Neutral",IF(I12&gt;=1.81,"Disagree","Strongly Disagree")))))</f>
        <v/>
      </c>
    </row>
    <row r="13">
      <c r="A13" s="22" t="n">
        <v>2</v>
      </c>
      <c r="B13" s="23" t="inlineStr">
        <is>
          <t>Reports are easy to generate.</t>
        </is>
      </c>
      <c r="C13" s="22">
        <f>COUNTIF('Admin Responses'!$I$6:$I$205,5)</f>
        <v/>
      </c>
      <c r="D13" s="22">
        <f>COUNTIF('Admin Responses'!$I$6:$I$205,4)</f>
        <v/>
      </c>
      <c r="E13" s="22">
        <f>COUNTIF('Admin Responses'!$I$6:$I$205,3)</f>
        <v/>
      </c>
      <c r="F13" s="22">
        <f>COUNTIF('Admin Responses'!$I$6:$I$205,2)</f>
        <v/>
      </c>
      <c r="G13" s="22">
        <f>COUNTIF('Admin Responses'!$I$6:$I$205,1)</f>
        <v/>
      </c>
      <c r="H13" s="22">
        <f>COUNT('Admin Responses'!$I$6:$I$205)</f>
        <v/>
      </c>
      <c r="I13" s="24">
        <f>IF(H13=0,"",(C13*5+D13*4+E13*3+F13*2+G13*1)/H13)</f>
        <v/>
      </c>
      <c r="J13" s="22">
        <f>IF(I13="","",IF(I13&gt;=4.21,"Strongly Agree",IF(I13&gt;=3.41,"Agree",IF(I13&gt;=2.61,"Neutral",IF(I13&gt;=1.81,"Disagree","Strongly Disagree")))))</f>
        <v/>
      </c>
    </row>
    <row r="14">
      <c r="A14" s="25" t="n"/>
      <c r="B14" s="26" t="inlineStr">
        <is>
          <t>Category mean — B. Usability</t>
        </is>
      </c>
      <c r="C14" s="27" t="n"/>
      <c r="D14" s="27" t="n"/>
      <c r="E14" s="27" t="n"/>
      <c r="F14" s="27" t="n"/>
      <c r="G14" s="27" t="n"/>
      <c r="H14" s="27" t="n"/>
      <c r="I14" s="28">
        <f>IFERROR(AVERAGE(I12:I13),"")</f>
        <v/>
      </c>
      <c r="J14" s="29">
        <f>IF(I14="","",IF(I14&gt;=4.21,"Strongly Agree",IF(I14&gt;=3.41,"Agree",IF(I14&gt;=2.61,"Neutral",IF(I14&gt;=1.81,"Disagree","Strongly Disagree")))))</f>
        <v/>
      </c>
    </row>
    <row r="16">
      <c r="A16" s="19" t="inlineStr">
        <is>
          <t>C. Reliability</t>
        </is>
      </c>
      <c r="B16" s="20" t="n"/>
      <c r="C16" s="20" t="n"/>
      <c r="D16" s="20" t="n"/>
      <c r="E16" s="20" t="n"/>
      <c r="F16" s="20" t="n"/>
      <c r="G16" s="20" t="n"/>
      <c r="H16" s="20" t="n"/>
      <c r="I16" s="20" t="n"/>
      <c r="J16" s="21" t="n"/>
    </row>
    <row r="17">
      <c r="A17" s="22" t="n">
        <v>1</v>
      </c>
      <c r="B17" s="23" t="inlineStr">
        <is>
          <t>Records are accurate.</t>
        </is>
      </c>
      <c r="C17" s="22">
        <f>COUNTIF('Admin Responses'!$J$6:$J$205,5)</f>
        <v/>
      </c>
      <c r="D17" s="22">
        <f>COUNTIF('Admin Responses'!$J$6:$J$205,4)</f>
        <v/>
      </c>
      <c r="E17" s="22">
        <f>COUNTIF('Admin Responses'!$J$6:$J$205,3)</f>
        <v/>
      </c>
      <c r="F17" s="22">
        <f>COUNTIF('Admin Responses'!$J$6:$J$205,2)</f>
        <v/>
      </c>
      <c r="G17" s="22">
        <f>COUNTIF('Admin Responses'!$J$6:$J$205,1)</f>
        <v/>
      </c>
      <c r="H17" s="22">
        <f>COUNT('Admin Responses'!$J$6:$J$205)</f>
        <v/>
      </c>
      <c r="I17" s="24">
        <f>IF(H17=0,"",(C17*5+D17*4+E17*3+F17*2+G17*1)/H17)</f>
        <v/>
      </c>
      <c r="J17" s="22">
        <f>IF(I17="","",IF(I17&gt;=4.21,"Strongly Agree",IF(I17&gt;=3.41,"Agree",IF(I17&gt;=2.61,"Neutral",IF(I17&gt;=1.81,"Disagree","Strongly Disagree")))))</f>
        <v/>
      </c>
    </row>
    <row r="18">
      <c r="A18" s="22" t="n">
        <v>2</v>
      </c>
      <c r="B18" s="23" t="inlineStr">
        <is>
          <t>Data updates correctly.</t>
        </is>
      </c>
      <c r="C18" s="22">
        <f>COUNTIF('Admin Responses'!$K$6:$K$205,5)</f>
        <v/>
      </c>
      <c r="D18" s="22">
        <f>COUNTIF('Admin Responses'!$K$6:$K$205,4)</f>
        <v/>
      </c>
      <c r="E18" s="22">
        <f>COUNTIF('Admin Responses'!$K$6:$K$205,3)</f>
        <v/>
      </c>
      <c r="F18" s="22">
        <f>COUNTIF('Admin Responses'!$K$6:$K$205,2)</f>
        <v/>
      </c>
      <c r="G18" s="22">
        <f>COUNTIF('Admin Responses'!$K$6:$K$205,1)</f>
        <v/>
      </c>
      <c r="H18" s="22">
        <f>COUNT('Admin Responses'!$K$6:$K$205)</f>
        <v/>
      </c>
      <c r="I18" s="24">
        <f>IF(H18=0,"",(C18*5+D18*4+E18*3+F18*2+G18*1)/H18)</f>
        <v/>
      </c>
      <c r="J18" s="22">
        <f>IF(I18="","",IF(I18&gt;=4.21,"Strongly Agree",IF(I18&gt;=3.41,"Agree",IF(I18&gt;=2.61,"Neutral",IF(I18&gt;=1.81,"Disagree","Strongly Disagree")))))</f>
        <v/>
      </c>
    </row>
    <row r="19">
      <c r="A19" s="25" t="n"/>
      <c r="B19" s="26" t="inlineStr">
        <is>
          <t>Category mean — C. Reliability</t>
        </is>
      </c>
      <c r="C19" s="27" t="n"/>
      <c r="D19" s="27" t="n"/>
      <c r="E19" s="27" t="n"/>
      <c r="F19" s="27" t="n"/>
      <c r="G19" s="27" t="n"/>
      <c r="H19" s="27" t="n"/>
      <c r="I19" s="28">
        <f>IFERROR(AVERAGE(I17:I18),"")</f>
        <v/>
      </c>
      <c r="J19" s="29">
        <f>IF(I19="","",IF(I19&gt;=4.21,"Strongly Agree",IF(I19&gt;=3.41,"Agree",IF(I19&gt;=2.61,"Neutral",IF(I19&gt;=1.81,"Disagree","Strongly Disagree")))))</f>
        <v/>
      </c>
    </row>
    <row r="21">
      <c r="A21" s="30" t="n"/>
      <c r="B21" s="31" t="inlineStr">
        <is>
          <t>OVERALL WEIGHTED MEAN</t>
        </is>
      </c>
      <c r="C21" s="32" t="n"/>
      <c r="D21" s="32" t="n"/>
      <c r="E21" s="32" t="n"/>
      <c r="F21" s="32" t="n"/>
      <c r="G21" s="32" t="n"/>
      <c r="H21" s="32" t="n"/>
      <c r="I21" s="33">
        <f>IFERROR(AVERAGE(I9,I14,I19),"")</f>
        <v/>
      </c>
      <c r="J21" s="34">
        <f>IF(I21="","",IF(I21&gt;=4.21,"Strongly Agree",IF(I21&gt;=3.41,"Agree",IF(I21&gt;=2.61,"Neutral",IF(I21&gt;=1.81,"Disagree","Strongly Disagree")))))</f>
        <v/>
      </c>
    </row>
    <row r="23" ht="28" customHeight="1">
      <c r="B23" s="11" t="inlineStr">
        <is>
          <t>The overall mean averages the category means, so each characteristic counts equally regardless of how many items it has. Average column I of the items instead if your statistician wants every item weighted equally.</t>
        </is>
      </c>
    </row>
  </sheetData>
  <mergeCells count="4">
    <mergeCell ref="A16:J16"/>
    <mergeCell ref="A5:J5"/>
    <mergeCell ref="B23:J23"/>
    <mergeCell ref="A11:J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42" customWidth="1" min="3" max="3"/>
    <col width="42" customWidth="1" min="4" max="4"/>
    <col width="42" customWidth="1" min="5" max="5"/>
    <col width="42" customWidth="1" min="6" max="6"/>
  </cols>
  <sheetData>
    <row r="1">
      <c r="A1" s="10" t="inlineStr">
        <is>
          <t>Open-Ended Responses</t>
        </is>
      </c>
    </row>
    <row r="2">
      <c r="A2" s="11" t="inlineStr">
        <is>
          <t>Type the written answers verbatim, one row per respondent. Passengers answered Part IV; drivers answered Part III of their own instrument.</t>
        </is>
      </c>
    </row>
    <row r="4" ht="30" customHeight="1">
      <c r="A4" s="35" t="inlineStr">
        <is>
          <t>Respondent No.</t>
        </is>
      </c>
      <c r="B4" s="35" t="inlineStr">
        <is>
          <t>Role</t>
        </is>
      </c>
      <c r="C4" s="35" t="inlineStr">
        <is>
          <t>Q1 — most useful feature</t>
        </is>
      </c>
      <c r="D4" s="35" t="inlineStr">
        <is>
          <t>Q2 — challenges or problems</t>
        </is>
      </c>
      <c r="E4" s="35" t="inlineStr">
        <is>
          <t>Q3 — features or improvements wanted</t>
        </is>
      </c>
      <c r="F4" s="35" t="inlineStr">
        <is>
          <t>Q4 — other comments</t>
        </is>
      </c>
    </row>
    <row r="5">
      <c r="A5" s="36" t="inlineStr">
        <is>
          <t>EXAMPLE</t>
        </is>
      </c>
      <c r="B5" s="36" t="inlineStr">
        <is>
          <t>Passenger</t>
        </is>
      </c>
      <c r="C5" s="36" t="inlineStr">
        <is>
          <t>Seeing the fare before I book.</t>
        </is>
      </c>
      <c r="D5" s="36" t="inlineStr">
        <is>
          <t>The map was slow on mobile data.</t>
        </is>
      </c>
      <c r="E5" s="36" t="inlineStr">
        <is>
          <t>A way to save my usual destination.</t>
        </is>
      </c>
      <c r="F5" s="36" t="inlineStr">
        <is>
          <t>None.</t>
        </is>
      </c>
    </row>
    <row r="6">
      <c r="A6" s="37" t="n">
        <v>1</v>
      </c>
      <c r="B6" s="37" t="n"/>
      <c r="C6" s="37" t="n"/>
      <c r="D6" s="37" t="n"/>
      <c r="E6" s="37" t="n"/>
      <c r="F6" s="37" t="n"/>
    </row>
    <row r="7">
      <c r="A7" s="37" t="n">
        <v>2</v>
      </c>
      <c r="B7" s="37" t="n"/>
      <c r="C7" s="37" t="n"/>
      <c r="D7" s="37" t="n"/>
      <c r="E7" s="37" t="n"/>
      <c r="F7" s="37" t="n"/>
    </row>
    <row r="8">
      <c r="A8" s="37" t="n">
        <v>3</v>
      </c>
      <c r="B8" s="37" t="n"/>
      <c r="C8" s="37" t="n"/>
      <c r="D8" s="37" t="n"/>
      <c r="E8" s="37" t="n"/>
      <c r="F8" s="37" t="n"/>
    </row>
    <row r="9">
      <c r="A9" s="37" t="n">
        <v>4</v>
      </c>
      <c r="B9" s="37" t="n"/>
      <c r="C9" s="37" t="n"/>
      <c r="D9" s="37" t="n"/>
      <c r="E9" s="37" t="n"/>
      <c r="F9" s="37" t="n"/>
    </row>
    <row r="10">
      <c r="A10" s="37" t="n">
        <v>5</v>
      </c>
      <c r="B10" s="37" t="n"/>
      <c r="C10" s="37" t="n"/>
      <c r="D10" s="37" t="n"/>
      <c r="E10" s="37" t="n"/>
      <c r="F10" s="37" t="n"/>
    </row>
    <row r="11">
      <c r="A11" s="37" t="n">
        <v>6</v>
      </c>
      <c r="B11" s="37" t="n"/>
      <c r="C11" s="37" t="n"/>
      <c r="D11" s="37" t="n"/>
      <c r="E11" s="37" t="n"/>
      <c r="F11" s="37" t="n"/>
    </row>
    <row r="12">
      <c r="A12" s="37" t="n">
        <v>7</v>
      </c>
      <c r="B12" s="37" t="n"/>
      <c r="C12" s="37" t="n"/>
      <c r="D12" s="37" t="n"/>
      <c r="E12" s="37" t="n"/>
      <c r="F12" s="37" t="n"/>
    </row>
    <row r="13">
      <c r="A13" s="37" t="n">
        <v>8</v>
      </c>
      <c r="B13" s="37" t="n"/>
      <c r="C13" s="37" t="n"/>
      <c r="D13" s="37" t="n"/>
      <c r="E13" s="37" t="n"/>
      <c r="F13" s="37" t="n"/>
    </row>
    <row r="14">
      <c r="A14" s="37" t="n">
        <v>9</v>
      </c>
      <c r="B14" s="37" t="n"/>
      <c r="C14" s="37" t="n"/>
      <c r="D14" s="37" t="n"/>
      <c r="E14" s="37" t="n"/>
      <c r="F14" s="37" t="n"/>
    </row>
    <row r="15">
      <c r="A15" s="37" t="n">
        <v>10</v>
      </c>
      <c r="B15" s="37" t="n"/>
      <c r="C15" s="37" t="n"/>
      <c r="D15" s="37" t="n"/>
      <c r="E15" s="37" t="n"/>
      <c r="F15" s="37" t="n"/>
    </row>
    <row r="16">
      <c r="A16" s="37" t="n">
        <v>11</v>
      </c>
      <c r="B16" s="37" t="n"/>
      <c r="C16" s="37" t="n"/>
      <c r="D16" s="37" t="n"/>
      <c r="E16" s="37" t="n"/>
      <c r="F16" s="37" t="n"/>
    </row>
    <row r="17">
      <c r="A17" s="37" t="n">
        <v>12</v>
      </c>
      <c r="B17" s="37" t="n"/>
      <c r="C17" s="37" t="n"/>
      <c r="D17" s="37" t="n"/>
      <c r="E17" s="37" t="n"/>
      <c r="F17" s="37" t="n"/>
    </row>
    <row r="18">
      <c r="A18" s="37" t="n">
        <v>13</v>
      </c>
      <c r="B18" s="37" t="n"/>
      <c r="C18" s="37" t="n"/>
      <c r="D18" s="37" t="n"/>
      <c r="E18" s="37" t="n"/>
      <c r="F18" s="37" t="n"/>
    </row>
    <row r="19">
      <c r="A19" s="37" t="n">
        <v>14</v>
      </c>
      <c r="B19" s="37" t="n"/>
      <c r="C19" s="37" t="n"/>
      <c r="D19" s="37" t="n"/>
      <c r="E19" s="37" t="n"/>
      <c r="F19" s="37" t="n"/>
    </row>
    <row r="20">
      <c r="A20" s="37" t="n">
        <v>15</v>
      </c>
      <c r="B20" s="37" t="n"/>
      <c r="C20" s="37" t="n"/>
      <c r="D20" s="37" t="n"/>
      <c r="E20" s="37" t="n"/>
      <c r="F20" s="37" t="n"/>
    </row>
    <row r="21">
      <c r="A21" s="37" t="n">
        <v>16</v>
      </c>
      <c r="B21" s="37" t="n"/>
      <c r="C21" s="37" t="n"/>
      <c r="D21" s="37" t="n"/>
      <c r="E21" s="37" t="n"/>
      <c r="F21" s="37" t="n"/>
    </row>
    <row r="22">
      <c r="A22" s="37" t="n">
        <v>17</v>
      </c>
      <c r="B22" s="37" t="n"/>
      <c r="C22" s="37" t="n"/>
      <c r="D22" s="37" t="n"/>
      <c r="E22" s="37" t="n"/>
      <c r="F22" s="37" t="n"/>
    </row>
    <row r="23">
      <c r="A23" s="37" t="n">
        <v>18</v>
      </c>
      <c r="B23" s="37" t="n"/>
      <c r="C23" s="37" t="n"/>
      <c r="D23" s="37" t="n"/>
      <c r="E23" s="37" t="n"/>
      <c r="F23" s="37" t="n"/>
    </row>
    <row r="24">
      <c r="A24" s="37" t="n">
        <v>19</v>
      </c>
      <c r="B24" s="37" t="n"/>
      <c r="C24" s="37" t="n"/>
      <c r="D24" s="37" t="n"/>
      <c r="E24" s="37" t="n"/>
      <c r="F24" s="37" t="n"/>
    </row>
    <row r="25">
      <c r="A25" s="37" t="n">
        <v>20</v>
      </c>
      <c r="B25" s="37" t="n"/>
      <c r="C25" s="37" t="n"/>
      <c r="D25" s="37" t="n"/>
      <c r="E25" s="37" t="n"/>
      <c r="F25" s="37" t="n"/>
    </row>
    <row r="26">
      <c r="A26" s="37" t="n">
        <v>21</v>
      </c>
      <c r="B26" s="37" t="n"/>
      <c r="C26" s="37" t="n"/>
      <c r="D26" s="37" t="n"/>
      <c r="E26" s="37" t="n"/>
      <c r="F26" s="37" t="n"/>
    </row>
    <row r="27">
      <c r="A27" s="37" t="n">
        <v>22</v>
      </c>
      <c r="B27" s="37" t="n"/>
      <c r="C27" s="37" t="n"/>
      <c r="D27" s="37" t="n"/>
      <c r="E27" s="37" t="n"/>
      <c r="F27" s="37" t="n"/>
    </row>
    <row r="28">
      <c r="A28" s="37" t="n">
        <v>23</v>
      </c>
      <c r="B28" s="37" t="n"/>
      <c r="C28" s="37" t="n"/>
      <c r="D28" s="37" t="n"/>
      <c r="E28" s="37" t="n"/>
      <c r="F28" s="37" t="n"/>
    </row>
    <row r="29">
      <c r="A29" s="37" t="n">
        <v>24</v>
      </c>
      <c r="B29" s="37" t="n"/>
      <c r="C29" s="37" t="n"/>
      <c r="D29" s="37" t="n"/>
      <c r="E29" s="37" t="n"/>
      <c r="F29" s="37" t="n"/>
    </row>
    <row r="30">
      <c r="A30" s="37" t="n">
        <v>25</v>
      </c>
      <c r="B30" s="37" t="n"/>
      <c r="C30" s="37" t="n"/>
      <c r="D30" s="37" t="n"/>
      <c r="E30" s="37" t="n"/>
      <c r="F30" s="37" t="n"/>
    </row>
    <row r="31">
      <c r="A31" s="37" t="n">
        <v>26</v>
      </c>
      <c r="B31" s="37" t="n"/>
      <c r="C31" s="37" t="n"/>
      <c r="D31" s="37" t="n"/>
      <c r="E31" s="37" t="n"/>
      <c r="F31" s="37" t="n"/>
    </row>
    <row r="32">
      <c r="A32" s="37" t="n">
        <v>27</v>
      </c>
      <c r="B32" s="37" t="n"/>
      <c r="C32" s="37" t="n"/>
      <c r="D32" s="37" t="n"/>
      <c r="E32" s="37" t="n"/>
      <c r="F32" s="37" t="n"/>
    </row>
    <row r="33">
      <c r="A33" s="37" t="n">
        <v>28</v>
      </c>
      <c r="B33" s="37" t="n"/>
      <c r="C33" s="37" t="n"/>
      <c r="D33" s="37" t="n"/>
      <c r="E33" s="37" t="n"/>
      <c r="F33" s="37" t="n"/>
    </row>
    <row r="34">
      <c r="A34" s="37" t="n">
        <v>29</v>
      </c>
      <c r="B34" s="37" t="n"/>
      <c r="C34" s="37" t="n"/>
      <c r="D34" s="37" t="n"/>
      <c r="E34" s="37" t="n"/>
      <c r="F34" s="37" t="n"/>
    </row>
    <row r="35">
      <c r="A35" s="37" t="n">
        <v>30</v>
      </c>
      <c r="B35" s="37" t="n"/>
      <c r="C35" s="37" t="n"/>
      <c r="D35" s="37" t="n"/>
      <c r="E35" s="37" t="n"/>
      <c r="F35" s="37" t="n"/>
    </row>
    <row r="36">
      <c r="A36" s="37" t="n">
        <v>31</v>
      </c>
      <c r="B36" s="37" t="n"/>
      <c r="C36" s="37" t="n"/>
      <c r="D36" s="37" t="n"/>
      <c r="E36" s="37" t="n"/>
      <c r="F36" s="37" t="n"/>
    </row>
    <row r="37">
      <c r="A37" s="37" t="n">
        <v>32</v>
      </c>
      <c r="B37" s="37" t="n"/>
      <c r="C37" s="37" t="n"/>
      <c r="D37" s="37" t="n"/>
      <c r="E37" s="37" t="n"/>
      <c r="F37" s="37" t="n"/>
    </row>
    <row r="38">
      <c r="A38" s="37" t="n">
        <v>33</v>
      </c>
      <c r="B38" s="37" t="n"/>
      <c r="C38" s="37" t="n"/>
      <c r="D38" s="37" t="n"/>
      <c r="E38" s="37" t="n"/>
      <c r="F38" s="37" t="n"/>
    </row>
    <row r="39">
      <c r="A39" s="37" t="n">
        <v>34</v>
      </c>
      <c r="B39" s="37" t="n"/>
      <c r="C39" s="37" t="n"/>
      <c r="D39" s="37" t="n"/>
      <c r="E39" s="37" t="n"/>
      <c r="F39" s="37" t="n"/>
    </row>
    <row r="40">
      <c r="A40" s="37" t="n">
        <v>35</v>
      </c>
      <c r="B40" s="37" t="n"/>
      <c r="C40" s="37" t="n"/>
      <c r="D40" s="37" t="n"/>
      <c r="E40" s="37" t="n"/>
      <c r="F40" s="37" t="n"/>
    </row>
    <row r="41">
      <c r="A41" s="37" t="n">
        <v>36</v>
      </c>
      <c r="B41" s="37" t="n"/>
      <c r="C41" s="37" t="n"/>
      <c r="D41" s="37" t="n"/>
      <c r="E41" s="37" t="n"/>
      <c r="F41" s="37" t="n"/>
    </row>
    <row r="42">
      <c r="A42" s="37" t="n">
        <v>37</v>
      </c>
      <c r="B42" s="37" t="n"/>
      <c r="C42" s="37" t="n"/>
      <c r="D42" s="37" t="n"/>
      <c r="E42" s="37" t="n"/>
      <c r="F42" s="37" t="n"/>
    </row>
    <row r="43">
      <c r="A43" s="37" t="n">
        <v>38</v>
      </c>
      <c r="B43" s="37" t="n"/>
      <c r="C43" s="37" t="n"/>
      <c r="D43" s="37" t="n"/>
      <c r="E43" s="37" t="n"/>
      <c r="F43" s="37" t="n"/>
    </row>
    <row r="44">
      <c r="A44" s="37" t="n">
        <v>39</v>
      </c>
      <c r="B44" s="37" t="n"/>
      <c r="C44" s="37" t="n"/>
      <c r="D44" s="37" t="n"/>
      <c r="E44" s="37" t="n"/>
      <c r="F44" s="37" t="n"/>
    </row>
    <row r="45">
      <c r="A45" s="37" t="n">
        <v>40</v>
      </c>
      <c r="B45" s="37" t="n"/>
      <c r="C45" s="37" t="n"/>
      <c r="D45" s="37" t="n"/>
      <c r="E45" s="37" t="n"/>
      <c r="F45" s="37" t="n"/>
    </row>
    <row r="46">
      <c r="A46" s="37" t="n">
        <v>41</v>
      </c>
      <c r="B46" s="37" t="n"/>
      <c r="C46" s="37" t="n"/>
      <c r="D46" s="37" t="n"/>
      <c r="E46" s="37" t="n"/>
      <c r="F46" s="37" t="n"/>
    </row>
    <row r="47">
      <c r="A47" s="37" t="n">
        <v>42</v>
      </c>
      <c r="B47" s="37" t="n"/>
      <c r="C47" s="37" t="n"/>
      <c r="D47" s="37" t="n"/>
      <c r="E47" s="37" t="n"/>
      <c r="F47" s="37" t="n"/>
    </row>
    <row r="48">
      <c r="A48" s="37" t="n">
        <v>43</v>
      </c>
      <c r="B48" s="37" t="n"/>
      <c r="C48" s="37" t="n"/>
      <c r="D48" s="37" t="n"/>
      <c r="E48" s="37" t="n"/>
      <c r="F48" s="37" t="n"/>
    </row>
    <row r="49">
      <c r="A49" s="37" t="n">
        <v>44</v>
      </c>
      <c r="B49" s="37" t="n"/>
      <c r="C49" s="37" t="n"/>
      <c r="D49" s="37" t="n"/>
      <c r="E49" s="37" t="n"/>
      <c r="F49" s="37" t="n"/>
    </row>
    <row r="50">
      <c r="A50" s="37" t="n">
        <v>45</v>
      </c>
      <c r="B50" s="37" t="n"/>
      <c r="C50" s="37" t="n"/>
      <c r="D50" s="37" t="n"/>
      <c r="E50" s="37" t="n"/>
      <c r="F50" s="37" t="n"/>
    </row>
    <row r="51">
      <c r="A51" s="37" t="n">
        <v>46</v>
      </c>
      <c r="B51" s="37" t="n"/>
      <c r="C51" s="37" t="n"/>
      <c r="D51" s="37" t="n"/>
      <c r="E51" s="37" t="n"/>
      <c r="F51" s="37" t="n"/>
    </row>
    <row r="52">
      <c r="A52" s="37" t="n">
        <v>47</v>
      </c>
      <c r="B52" s="37" t="n"/>
      <c r="C52" s="37" t="n"/>
      <c r="D52" s="37" t="n"/>
      <c r="E52" s="37" t="n"/>
      <c r="F52" s="37" t="n"/>
    </row>
    <row r="53">
      <c r="A53" s="37" t="n">
        <v>48</v>
      </c>
      <c r="B53" s="37" t="n"/>
      <c r="C53" s="37" t="n"/>
      <c r="D53" s="37" t="n"/>
      <c r="E53" s="37" t="n"/>
      <c r="F53" s="37" t="n"/>
    </row>
    <row r="54">
      <c r="A54" s="37" t="n">
        <v>49</v>
      </c>
      <c r="B54" s="37" t="n"/>
      <c r="C54" s="37" t="n"/>
      <c r="D54" s="37" t="n"/>
      <c r="E54" s="37" t="n"/>
      <c r="F54" s="37" t="n"/>
    </row>
    <row r="55">
      <c r="A55" s="37" t="n">
        <v>50</v>
      </c>
      <c r="B55" s="37" t="n"/>
      <c r="C55" s="37" t="n"/>
      <c r="D55" s="37" t="n"/>
      <c r="E55" s="37" t="n"/>
      <c r="F55" s="37" t="n"/>
    </row>
    <row r="56">
      <c r="A56" s="37" t="n">
        <v>51</v>
      </c>
      <c r="B56" s="37" t="n"/>
      <c r="C56" s="37" t="n"/>
      <c r="D56" s="37" t="n"/>
      <c r="E56" s="37" t="n"/>
      <c r="F56" s="37" t="n"/>
    </row>
    <row r="57">
      <c r="A57" s="37" t="n">
        <v>52</v>
      </c>
      <c r="B57" s="37" t="n"/>
      <c r="C57" s="37" t="n"/>
      <c r="D57" s="37" t="n"/>
      <c r="E57" s="37" t="n"/>
      <c r="F57" s="37" t="n"/>
    </row>
    <row r="58">
      <c r="A58" s="37" t="n">
        <v>53</v>
      </c>
      <c r="B58" s="37" t="n"/>
      <c r="C58" s="37" t="n"/>
      <c r="D58" s="37" t="n"/>
      <c r="E58" s="37" t="n"/>
      <c r="F58" s="37" t="n"/>
    </row>
    <row r="59">
      <c r="A59" s="37" t="n">
        <v>54</v>
      </c>
      <c r="B59" s="37" t="n"/>
      <c r="C59" s="37" t="n"/>
      <c r="D59" s="37" t="n"/>
      <c r="E59" s="37" t="n"/>
      <c r="F59" s="37" t="n"/>
    </row>
    <row r="60">
      <c r="A60" s="37" t="n">
        <v>55</v>
      </c>
      <c r="B60" s="37" t="n"/>
      <c r="C60" s="37" t="n"/>
      <c r="D60" s="37" t="n"/>
      <c r="E60" s="37" t="n"/>
      <c r="F60" s="37" t="n"/>
    </row>
    <row r="61">
      <c r="A61" s="37" t="n">
        <v>56</v>
      </c>
      <c r="B61" s="37" t="n"/>
      <c r="C61" s="37" t="n"/>
      <c r="D61" s="37" t="n"/>
      <c r="E61" s="37" t="n"/>
      <c r="F61" s="37" t="n"/>
    </row>
    <row r="62">
      <c r="A62" s="37" t="n">
        <v>57</v>
      </c>
      <c r="B62" s="37" t="n"/>
      <c r="C62" s="37" t="n"/>
      <c r="D62" s="37" t="n"/>
      <c r="E62" s="37" t="n"/>
      <c r="F62" s="37" t="n"/>
    </row>
    <row r="63">
      <c r="A63" s="37" t="n">
        <v>58</v>
      </c>
      <c r="B63" s="37" t="n"/>
      <c r="C63" s="37" t="n"/>
      <c r="D63" s="37" t="n"/>
      <c r="E63" s="37" t="n"/>
      <c r="F63" s="37" t="n"/>
    </row>
    <row r="64">
      <c r="A64" s="37" t="n">
        <v>59</v>
      </c>
      <c r="B64" s="37" t="n"/>
      <c r="C64" s="37" t="n"/>
      <c r="D64" s="37" t="n"/>
      <c r="E64" s="37" t="n"/>
      <c r="F64" s="37" t="n"/>
    </row>
    <row r="65">
      <c r="A65" s="37" t="n">
        <v>60</v>
      </c>
      <c r="B65" s="37" t="n"/>
      <c r="C65" s="37" t="n"/>
      <c r="D65" s="37" t="n"/>
      <c r="E65" s="37" t="n"/>
      <c r="F65" s="37" t="n"/>
    </row>
    <row r="66">
      <c r="A66" s="37" t="n">
        <v>61</v>
      </c>
      <c r="B66" s="37" t="n"/>
      <c r="C66" s="37" t="n"/>
      <c r="D66" s="37" t="n"/>
      <c r="E66" s="37" t="n"/>
      <c r="F66" s="37" t="n"/>
    </row>
    <row r="67">
      <c r="A67" s="37" t="n">
        <v>62</v>
      </c>
      <c r="B67" s="37" t="n"/>
      <c r="C67" s="37" t="n"/>
      <c r="D67" s="37" t="n"/>
      <c r="E67" s="37" t="n"/>
      <c r="F67" s="37" t="n"/>
    </row>
    <row r="68">
      <c r="A68" s="37" t="n">
        <v>63</v>
      </c>
      <c r="B68" s="37" t="n"/>
      <c r="C68" s="37" t="n"/>
      <c r="D68" s="37" t="n"/>
      <c r="E68" s="37" t="n"/>
      <c r="F68" s="37" t="n"/>
    </row>
    <row r="69">
      <c r="A69" s="37" t="n">
        <v>64</v>
      </c>
      <c r="B69" s="37" t="n"/>
      <c r="C69" s="37" t="n"/>
      <c r="D69" s="37" t="n"/>
      <c r="E69" s="37" t="n"/>
      <c r="F69" s="37" t="n"/>
    </row>
    <row r="70">
      <c r="A70" s="37" t="n">
        <v>65</v>
      </c>
      <c r="B70" s="37" t="n"/>
      <c r="C70" s="37" t="n"/>
      <c r="D70" s="37" t="n"/>
      <c r="E70" s="37" t="n"/>
      <c r="F70" s="37" t="n"/>
    </row>
    <row r="71">
      <c r="A71" s="37" t="n">
        <v>66</v>
      </c>
      <c r="B71" s="37" t="n"/>
      <c r="C71" s="37" t="n"/>
      <c r="D71" s="37" t="n"/>
      <c r="E71" s="37" t="n"/>
      <c r="F71" s="37" t="n"/>
    </row>
    <row r="72">
      <c r="A72" s="37" t="n">
        <v>67</v>
      </c>
      <c r="B72" s="37" t="n"/>
      <c r="C72" s="37" t="n"/>
      <c r="D72" s="37" t="n"/>
      <c r="E72" s="37" t="n"/>
      <c r="F72" s="37" t="n"/>
    </row>
    <row r="73">
      <c r="A73" s="37" t="n">
        <v>68</v>
      </c>
      <c r="B73" s="37" t="n"/>
      <c r="C73" s="37" t="n"/>
      <c r="D73" s="37" t="n"/>
      <c r="E73" s="37" t="n"/>
      <c r="F73" s="37" t="n"/>
    </row>
    <row r="74">
      <c r="A74" s="37" t="n">
        <v>69</v>
      </c>
      <c r="B74" s="37" t="n"/>
      <c r="C74" s="37" t="n"/>
      <c r="D74" s="37" t="n"/>
      <c r="E74" s="37" t="n"/>
      <c r="F74" s="37" t="n"/>
    </row>
    <row r="75">
      <c r="A75" s="37" t="n">
        <v>70</v>
      </c>
      <c r="B75" s="37" t="n"/>
      <c r="C75" s="37" t="n"/>
      <c r="D75" s="37" t="n"/>
      <c r="E75" s="37" t="n"/>
      <c r="F75" s="37" t="n"/>
    </row>
    <row r="76">
      <c r="A76" s="37" t="n">
        <v>71</v>
      </c>
      <c r="B76" s="37" t="n"/>
      <c r="C76" s="37" t="n"/>
      <c r="D76" s="37" t="n"/>
      <c r="E76" s="37" t="n"/>
      <c r="F76" s="37" t="n"/>
    </row>
    <row r="77">
      <c r="A77" s="37" t="n">
        <v>72</v>
      </c>
      <c r="B77" s="37" t="n"/>
      <c r="C77" s="37" t="n"/>
      <c r="D77" s="37" t="n"/>
      <c r="E77" s="37" t="n"/>
      <c r="F77" s="37" t="n"/>
    </row>
    <row r="78">
      <c r="A78" s="37" t="n">
        <v>73</v>
      </c>
      <c r="B78" s="37" t="n"/>
      <c r="C78" s="37" t="n"/>
      <c r="D78" s="37" t="n"/>
      <c r="E78" s="37" t="n"/>
      <c r="F78" s="37" t="n"/>
    </row>
    <row r="79">
      <c r="A79" s="37" t="n">
        <v>74</v>
      </c>
      <c r="B79" s="37" t="n"/>
      <c r="C79" s="37" t="n"/>
      <c r="D79" s="37" t="n"/>
      <c r="E79" s="37" t="n"/>
      <c r="F79" s="37" t="n"/>
    </row>
    <row r="80">
      <c r="A80" s="37" t="n">
        <v>75</v>
      </c>
      <c r="B80" s="37" t="n"/>
      <c r="C80" s="37" t="n"/>
      <c r="D80" s="37" t="n"/>
      <c r="E80" s="37" t="n"/>
      <c r="F80" s="37" t="n"/>
    </row>
    <row r="81">
      <c r="A81" s="37" t="n">
        <v>76</v>
      </c>
      <c r="B81" s="37" t="n"/>
      <c r="C81" s="37" t="n"/>
      <c r="D81" s="37" t="n"/>
      <c r="E81" s="37" t="n"/>
      <c r="F81" s="37" t="n"/>
    </row>
    <row r="82">
      <c r="A82" s="37" t="n">
        <v>77</v>
      </c>
      <c r="B82" s="37" t="n"/>
      <c r="C82" s="37" t="n"/>
      <c r="D82" s="37" t="n"/>
      <c r="E82" s="37" t="n"/>
      <c r="F82" s="37" t="n"/>
    </row>
    <row r="83">
      <c r="A83" s="37" t="n">
        <v>78</v>
      </c>
      <c r="B83" s="37" t="n"/>
      <c r="C83" s="37" t="n"/>
      <c r="D83" s="37" t="n"/>
      <c r="E83" s="37" t="n"/>
      <c r="F83" s="37" t="n"/>
    </row>
    <row r="84">
      <c r="A84" s="37" t="n">
        <v>79</v>
      </c>
      <c r="B84" s="37" t="n"/>
      <c r="C84" s="37" t="n"/>
      <c r="D84" s="37" t="n"/>
      <c r="E84" s="37" t="n"/>
      <c r="F84" s="37" t="n"/>
    </row>
    <row r="85">
      <c r="A85" s="37" t="n">
        <v>80</v>
      </c>
      <c r="B85" s="37" t="n"/>
      <c r="C85" s="37" t="n"/>
      <c r="D85" s="37" t="n"/>
      <c r="E85" s="37" t="n"/>
      <c r="F85" s="37" t="n"/>
    </row>
    <row r="86">
      <c r="A86" s="37" t="n">
        <v>81</v>
      </c>
      <c r="B86" s="37" t="n"/>
      <c r="C86" s="37" t="n"/>
      <c r="D86" s="37" t="n"/>
      <c r="E86" s="37" t="n"/>
      <c r="F86" s="37" t="n"/>
    </row>
    <row r="87">
      <c r="A87" s="37" t="n">
        <v>82</v>
      </c>
      <c r="B87" s="37" t="n"/>
      <c r="C87" s="37" t="n"/>
      <c r="D87" s="37" t="n"/>
      <c r="E87" s="37" t="n"/>
      <c r="F87" s="37" t="n"/>
    </row>
    <row r="88">
      <c r="A88" s="37" t="n">
        <v>83</v>
      </c>
      <c r="B88" s="37" t="n"/>
      <c r="C88" s="37" t="n"/>
      <c r="D88" s="37" t="n"/>
      <c r="E88" s="37" t="n"/>
      <c r="F88" s="37" t="n"/>
    </row>
    <row r="89">
      <c r="A89" s="37" t="n">
        <v>84</v>
      </c>
      <c r="B89" s="37" t="n"/>
      <c r="C89" s="37" t="n"/>
      <c r="D89" s="37" t="n"/>
      <c r="E89" s="37" t="n"/>
      <c r="F89" s="37" t="n"/>
    </row>
    <row r="90">
      <c r="A90" s="37" t="n">
        <v>85</v>
      </c>
      <c r="B90" s="37" t="n"/>
      <c r="C90" s="37" t="n"/>
      <c r="D90" s="37" t="n"/>
      <c r="E90" s="37" t="n"/>
      <c r="F90" s="37" t="n"/>
    </row>
    <row r="91">
      <c r="A91" s="37" t="n">
        <v>86</v>
      </c>
      <c r="B91" s="37" t="n"/>
      <c r="C91" s="37" t="n"/>
      <c r="D91" s="37" t="n"/>
      <c r="E91" s="37" t="n"/>
      <c r="F91" s="37" t="n"/>
    </row>
    <row r="92">
      <c r="A92" s="37" t="n">
        <v>87</v>
      </c>
      <c r="B92" s="37" t="n"/>
      <c r="C92" s="37" t="n"/>
      <c r="D92" s="37" t="n"/>
      <c r="E92" s="37" t="n"/>
      <c r="F92" s="37" t="n"/>
    </row>
    <row r="93">
      <c r="A93" s="37" t="n">
        <v>88</v>
      </c>
      <c r="B93" s="37" t="n"/>
      <c r="C93" s="37" t="n"/>
      <c r="D93" s="37" t="n"/>
      <c r="E93" s="37" t="n"/>
      <c r="F93" s="37" t="n"/>
    </row>
    <row r="94">
      <c r="A94" s="37" t="n">
        <v>89</v>
      </c>
      <c r="B94" s="37" t="n"/>
      <c r="C94" s="37" t="n"/>
      <c r="D94" s="37" t="n"/>
      <c r="E94" s="37" t="n"/>
      <c r="F94" s="37" t="n"/>
    </row>
    <row r="95">
      <c r="A95" s="37" t="n">
        <v>90</v>
      </c>
      <c r="B95" s="37" t="n"/>
      <c r="C95" s="37" t="n"/>
      <c r="D95" s="37" t="n"/>
      <c r="E95" s="37" t="n"/>
      <c r="F95" s="37" t="n"/>
    </row>
    <row r="96">
      <c r="A96" s="37" t="n">
        <v>91</v>
      </c>
      <c r="B96" s="37" t="n"/>
      <c r="C96" s="37" t="n"/>
      <c r="D96" s="37" t="n"/>
      <c r="E96" s="37" t="n"/>
      <c r="F96" s="37" t="n"/>
    </row>
    <row r="97">
      <c r="A97" s="37" t="n">
        <v>92</v>
      </c>
      <c r="B97" s="37" t="n"/>
      <c r="C97" s="37" t="n"/>
      <c r="D97" s="37" t="n"/>
      <c r="E97" s="37" t="n"/>
      <c r="F97" s="37" t="n"/>
    </row>
    <row r="98">
      <c r="A98" s="37" t="n">
        <v>93</v>
      </c>
      <c r="B98" s="37" t="n"/>
      <c r="C98" s="37" t="n"/>
      <c r="D98" s="37" t="n"/>
      <c r="E98" s="37" t="n"/>
      <c r="F98" s="37" t="n"/>
    </row>
    <row r="99">
      <c r="A99" s="37" t="n">
        <v>94</v>
      </c>
      <c r="B99" s="37" t="n"/>
      <c r="C99" s="37" t="n"/>
      <c r="D99" s="37" t="n"/>
      <c r="E99" s="37" t="n"/>
      <c r="F99" s="37" t="n"/>
    </row>
    <row r="100">
      <c r="A100" s="37" t="n">
        <v>95</v>
      </c>
      <c r="B100" s="37" t="n"/>
      <c r="C100" s="37" t="n"/>
      <c r="D100" s="37" t="n"/>
      <c r="E100" s="37" t="n"/>
      <c r="F100" s="37" t="n"/>
    </row>
    <row r="101">
      <c r="A101" s="37" t="n">
        <v>96</v>
      </c>
      <c r="B101" s="37" t="n"/>
      <c r="C101" s="37" t="n"/>
      <c r="D101" s="37" t="n"/>
      <c r="E101" s="37" t="n"/>
      <c r="F101" s="37" t="n"/>
    </row>
    <row r="102">
      <c r="A102" s="37" t="n">
        <v>97</v>
      </c>
      <c r="B102" s="37" t="n"/>
      <c r="C102" s="37" t="n"/>
      <c r="D102" s="37" t="n"/>
      <c r="E102" s="37" t="n"/>
      <c r="F102" s="37" t="n"/>
    </row>
    <row r="103">
      <c r="A103" s="37" t="n">
        <v>98</v>
      </c>
      <c r="B103" s="37" t="n"/>
      <c r="C103" s="37" t="n"/>
      <c r="D103" s="37" t="n"/>
      <c r="E103" s="37" t="n"/>
      <c r="F103" s="37" t="n"/>
    </row>
    <row r="104">
      <c r="A104" s="37" t="n">
        <v>99</v>
      </c>
      <c r="B104" s="37" t="n"/>
      <c r="C104" s="37" t="n"/>
      <c r="D104" s="37" t="n"/>
      <c r="E104" s="37" t="n"/>
      <c r="F104" s="37" t="n"/>
    </row>
    <row r="105">
      <c r="A105" s="37" t="n">
        <v>100</v>
      </c>
      <c r="B105" s="37" t="n"/>
      <c r="C105" s="37" t="n"/>
      <c r="D105" s="37" t="n"/>
      <c r="E105" s="37" t="n"/>
      <c r="F105" s="37" t="n"/>
    </row>
    <row r="106">
      <c r="A106" s="37" t="n">
        <v>101</v>
      </c>
      <c r="B106" s="37" t="n"/>
      <c r="C106" s="37" t="n"/>
      <c r="D106" s="37" t="n"/>
      <c r="E106" s="37" t="n"/>
      <c r="F106" s="37" t="n"/>
    </row>
    <row r="107">
      <c r="A107" s="37" t="n">
        <v>102</v>
      </c>
      <c r="B107" s="37" t="n"/>
      <c r="C107" s="37" t="n"/>
      <c r="D107" s="37" t="n"/>
      <c r="E107" s="37" t="n"/>
      <c r="F107" s="37" t="n"/>
    </row>
    <row r="108">
      <c r="A108" s="37" t="n">
        <v>103</v>
      </c>
      <c r="B108" s="37" t="n"/>
      <c r="C108" s="37" t="n"/>
      <c r="D108" s="37" t="n"/>
      <c r="E108" s="37" t="n"/>
      <c r="F108" s="37" t="n"/>
    </row>
    <row r="109">
      <c r="A109" s="37" t="n">
        <v>104</v>
      </c>
      <c r="B109" s="37" t="n"/>
      <c r="C109" s="37" t="n"/>
      <c r="D109" s="37" t="n"/>
      <c r="E109" s="37" t="n"/>
      <c r="F109" s="37" t="n"/>
    </row>
    <row r="110">
      <c r="A110" s="37" t="n">
        <v>105</v>
      </c>
      <c r="B110" s="37" t="n"/>
      <c r="C110" s="37" t="n"/>
      <c r="D110" s="37" t="n"/>
      <c r="E110" s="37" t="n"/>
      <c r="F110" s="37" t="n"/>
    </row>
    <row r="111">
      <c r="A111" s="37" t="n">
        <v>106</v>
      </c>
      <c r="B111" s="37" t="n"/>
      <c r="C111" s="37" t="n"/>
      <c r="D111" s="37" t="n"/>
      <c r="E111" s="37" t="n"/>
      <c r="F111" s="37" t="n"/>
    </row>
    <row r="112">
      <c r="A112" s="37" t="n">
        <v>107</v>
      </c>
      <c r="B112" s="37" t="n"/>
      <c r="C112" s="37" t="n"/>
      <c r="D112" s="37" t="n"/>
      <c r="E112" s="37" t="n"/>
      <c r="F112" s="37" t="n"/>
    </row>
    <row r="113">
      <c r="A113" s="37" t="n">
        <v>108</v>
      </c>
      <c r="B113" s="37" t="n"/>
      <c r="C113" s="37" t="n"/>
      <c r="D113" s="37" t="n"/>
      <c r="E113" s="37" t="n"/>
      <c r="F113" s="37" t="n"/>
    </row>
    <row r="114">
      <c r="A114" s="37" t="n">
        <v>109</v>
      </c>
      <c r="B114" s="37" t="n"/>
      <c r="C114" s="37" t="n"/>
      <c r="D114" s="37" t="n"/>
      <c r="E114" s="37" t="n"/>
      <c r="F114" s="37" t="n"/>
    </row>
    <row r="115">
      <c r="A115" s="37" t="n">
        <v>110</v>
      </c>
      <c r="B115" s="37" t="n"/>
      <c r="C115" s="37" t="n"/>
      <c r="D115" s="37" t="n"/>
      <c r="E115" s="37" t="n"/>
      <c r="F115" s="37" t="n"/>
    </row>
    <row r="116">
      <c r="A116" s="37" t="n">
        <v>111</v>
      </c>
      <c r="B116" s="37" t="n"/>
      <c r="C116" s="37" t="n"/>
      <c r="D116" s="37" t="n"/>
      <c r="E116" s="37" t="n"/>
      <c r="F116" s="37" t="n"/>
    </row>
    <row r="117">
      <c r="A117" s="37" t="n">
        <v>112</v>
      </c>
      <c r="B117" s="37" t="n"/>
      <c r="C117" s="37" t="n"/>
      <c r="D117" s="37" t="n"/>
      <c r="E117" s="37" t="n"/>
      <c r="F117" s="37" t="n"/>
    </row>
    <row r="118">
      <c r="A118" s="37" t="n">
        <v>113</v>
      </c>
      <c r="B118" s="37" t="n"/>
      <c r="C118" s="37" t="n"/>
      <c r="D118" s="37" t="n"/>
      <c r="E118" s="37" t="n"/>
      <c r="F118" s="37" t="n"/>
    </row>
    <row r="119">
      <c r="A119" s="37" t="n">
        <v>114</v>
      </c>
      <c r="B119" s="37" t="n"/>
      <c r="C119" s="37" t="n"/>
      <c r="D119" s="37" t="n"/>
      <c r="E119" s="37" t="n"/>
      <c r="F119" s="37" t="n"/>
    </row>
    <row r="120">
      <c r="A120" s="37" t="n">
        <v>115</v>
      </c>
      <c r="B120" s="37" t="n"/>
      <c r="C120" s="37" t="n"/>
      <c r="D120" s="37" t="n"/>
      <c r="E120" s="37" t="n"/>
      <c r="F120" s="37" t="n"/>
    </row>
    <row r="121">
      <c r="A121" s="37" t="n">
        <v>116</v>
      </c>
      <c r="B121" s="37" t="n"/>
      <c r="C121" s="37" t="n"/>
      <c r="D121" s="37" t="n"/>
      <c r="E121" s="37" t="n"/>
      <c r="F121" s="37" t="n"/>
    </row>
    <row r="122">
      <c r="A122" s="37" t="n">
        <v>117</v>
      </c>
      <c r="B122" s="37" t="n"/>
      <c r="C122" s="37" t="n"/>
      <c r="D122" s="37" t="n"/>
      <c r="E122" s="37" t="n"/>
      <c r="F122" s="37" t="n"/>
    </row>
    <row r="123">
      <c r="A123" s="37" t="n">
        <v>118</v>
      </c>
      <c r="B123" s="37" t="n"/>
      <c r="C123" s="37" t="n"/>
      <c r="D123" s="37" t="n"/>
      <c r="E123" s="37" t="n"/>
      <c r="F123" s="37" t="n"/>
    </row>
    <row r="124">
      <c r="A124" s="37" t="n">
        <v>119</v>
      </c>
      <c r="B124" s="37" t="n"/>
      <c r="C124" s="37" t="n"/>
      <c r="D124" s="37" t="n"/>
      <c r="E124" s="37" t="n"/>
      <c r="F124" s="37" t="n"/>
    </row>
    <row r="125">
      <c r="A125" s="37" t="n">
        <v>120</v>
      </c>
      <c r="B125" s="37" t="n"/>
      <c r="C125" s="37" t="n"/>
      <c r="D125" s="37" t="n"/>
      <c r="E125" s="37" t="n"/>
      <c r="F125" s="37" t="n"/>
    </row>
    <row r="126">
      <c r="A126" s="37" t="n">
        <v>121</v>
      </c>
      <c r="B126" s="37" t="n"/>
      <c r="C126" s="37" t="n"/>
      <c r="D126" s="37" t="n"/>
      <c r="E126" s="37" t="n"/>
      <c r="F126" s="37" t="n"/>
    </row>
    <row r="127">
      <c r="A127" s="37" t="n">
        <v>122</v>
      </c>
      <c r="B127" s="37" t="n"/>
      <c r="C127" s="37" t="n"/>
      <c r="D127" s="37" t="n"/>
      <c r="E127" s="37" t="n"/>
      <c r="F127" s="37" t="n"/>
    </row>
    <row r="128">
      <c r="A128" s="37" t="n">
        <v>123</v>
      </c>
      <c r="B128" s="37" t="n"/>
      <c r="C128" s="37" t="n"/>
      <c r="D128" s="37" t="n"/>
      <c r="E128" s="37" t="n"/>
      <c r="F128" s="37" t="n"/>
    </row>
    <row r="129">
      <c r="A129" s="37" t="n">
        <v>124</v>
      </c>
      <c r="B129" s="37" t="n"/>
      <c r="C129" s="37" t="n"/>
      <c r="D129" s="37" t="n"/>
      <c r="E129" s="37" t="n"/>
      <c r="F129" s="37" t="n"/>
    </row>
    <row r="130">
      <c r="A130" s="37" t="n">
        <v>125</v>
      </c>
      <c r="B130" s="37" t="n"/>
      <c r="C130" s="37" t="n"/>
      <c r="D130" s="37" t="n"/>
      <c r="E130" s="37" t="n"/>
      <c r="F130" s="37" t="n"/>
    </row>
    <row r="131">
      <c r="A131" s="37" t="n">
        <v>126</v>
      </c>
      <c r="B131" s="37" t="n"/>
      <c r="C131" s="37" t="n"/>
      <c r="D131" s="37" t="n"/>
      <c r="E131" s="37" t="n"/>
      <c r="F131" s="37" t="n"/>
    </row>
    <row r="132">
      <c r="A132" s="37" t="n">
        <v>127</v>
      </c>
      <c r="B132" s="37" t="n"/>
      <c r="C132" s="37" t="n"/>
      <c r="D132" s="37" t="n"/>
      <c r="E132" s="37" t="n"/>
      <c r="F132" s="37" t="n"/>
    </row>
    <row r="133">
      <c r="A133" s="37" t="n">
        <v>128</v>
      </c>
      <c r="B133" s="37" t="n"/>
      <c r="C133" s="37" t="n"/>
      <c r="D133" s="37" t="n"/>
      <c r="E133" s="37" t="n"/>
      <c r="F133" s="37" t="n"/>
    </row>
    <row r="134">
      <c r="A134" s="37" t="n">
        <v>129</v>
      </c>
      <c r="B134" s="37" t="n"/>
      <c r="C134" s="37" t="n"/>
      <c r="D134" s="37" t="n"/>
      <c r="E134" s="37" t="n"/>
      <c r="F134" s="37" t="n"/>
    </row>
    <row r="135">
      <c r="A135" s="37" t="n">
        <v>130</v>
      </c>
      <c r="B135" s="37" t="n"/>
      <c r="C135" s="37" t="n"/>
      <c r="D135" s="37" t="n"/>
      <c r="E135" s="37" t="n"/>
      <c r="F135" s="37" t="n"/>
    </row>
    <row r="136">
      <c r="A136" s="37" t="n">
        <v>131</v>
      </c>
      <c r="B136" s="37" t="n"/>
      <c r="C136" s="37" t="n"/>
      <c r="D136" s="37" t="n"/>
      <c r="E136" s="37" t="n"/>
      <c r="F136" s="37" t="n"/>
    </row>
    <row r="137">
      <c r="A137" s="37" t="n">
        <v>132</v>
      </c>
      <c r="B137" s="37" t="n"/>
      <c r="C137" s="37" t="n"/>
      <c r="D137" s="37" t="n"/>
      <c r="E137" s="37" t="n"/>
      <c r="F137" s="37" t="n"/>
    </row>
    <row r="138">
      <c r="A138" s="37" t="n">
        <v>133</v>
      </c>
      <c r="B138" s="37" t="n"/>
      <c r="C138" s="37" t="n"/>
      <c r="D138" s="37" t="n"/>
      <c r="E138" s="37" t="n"/>
      <c r="F138" s="37" t="n"/>
    </row>
    <row r="139">
      <c r="A139" s="37" t="n">
        <v>134</v>
      </c>
      <c r="B139" s="37" t="n"/>
      <c r="C139" s="37" t="n"/>
      <c r="D139" s="37" t="n"/>
      <c r="E139" s="37" t="n"/>
      <c r="F139" s="37" t="n"/>
    </row>
    <row r="140">
      <c r="A140" s="37" t="n">
        <v>135</v>
      </c>
      <c r="B140" s="37" t="n"/>
      <c r="C140" s="37" t="n"/>
      <c r="D140" s="37" t="n"/>
      <c r="E140" s="37" t="n"/>
      <c r="F140" s="37" t="n"/>
    </row>
    <row r="141">
      <c r="A141" s="37" t="n">
        <v>136</v>
      </c>
      <c r="B141" s="37" t="n"/>
      <c r="C141" s="37" t="n"/>
      <c r="D141" s="37" t="n"/>
      <c r="E141" s="37" t="n"/>
      <c r="F141" s="37" t="n"/>
    </row>
    <row r="142">
      <c r="A142" s="37" t="n">
        <v>137</v>
      </c>
      <c r="B142" s="37" t="n"/>
      <c r="C142" s="37" t="n"/>
      <c r="D142" s="37" t="n"/>
      <c r="E142" s="37" t="n"/>
      <c r="F142" s="37" t="n"/>
    </row>
    <row r="143">
      <c r="A143" s="37" t="n">
        <v>138</v>
      </c>
      <c r="B143" s="37" t="n"/>
      <c r="C143" s="37" t="n"/>
      <c r="D143" s="37" t="n"/>
      <c r="E143" s="37" t="n"/>
      <c r="F143" s="37" t="n"/>
    </row>
    <row r="144">
      <c r="A144" s="37" t="n">
        <v>139</v>
      </c>
      <c r="B144" s="37" t="n"/>
      <c r="C144" s="37" t="n"/>
      <c r="D144" s="37" t="n"/>
      <c r="E144" s="37" t="n"/>
      <c r="F144" s="37" t="n"/>
    </row>
    <row r="145">
      <c r="A145" s="37" t="n">
        <v>140</v>
      </c>
      <c r="B145" s="37" t="n"/>
      <c r="C145" s="37" t="n"/>
      <c r="D145" s="37" t="n"/>
      <c r="E145" s="37" t="n"/>
      <c r="F145" s="37" t="n"/>
    </row>
    <row r="146">
      <c r="A146" s="37" t="n">
        <v>141</v>
      </c>
      <c r="B146" s="37" t="n"/>
      <c r="C146" s="37" t="n"/>
      <c r="D146" s="37" t="n"/>
      <c r="E146" s="37" t="n"/>
      <c r="F146" s="37" t="n"/>
    </row>
    <row r="147">
      <c r="A147" s="37" t="n">
        <v>142</v>
      </c>
      <c r="B147" s="37" t="n"/>
      <c r="C147" s="37" t="n"/>
      <c r="D147" s="37" t="n"/>
      <c r="E147" s="37" t="n"/>
      <c r="F147" s="37" t="n"/>
    </row>
    <row r="148">
      <c r="A148" s="37" t="n">
        <v>143</v>
      </c>
      <c r="B148" s="37" t="n"/>
      <c r="C148" s="37" t="n"/>
      <c r="D148" s="37" t="n"/>
      <c r="E148" s="37" t="n"/>
      <c r="F148" s="37" t="n"/>
    </row>
    <row r="149">
      <c r="A149" s="37" t="n">
        <v>144</v>
      </c>
      <c r="B149" s="37" t="n"/>
      <c r="C149" s="37" t="n"/>
      <c r="D149" s="37" t="n"/>
      <c r="E149" s="37" t="n"/>
      <c r="F149" s="37" t="n"/>
    </row>
    <row r="150">
      <c r="A150" s="37" t="n">
        <v>145</v>
      </c>
      <c r="B150" s="37" t="n"/>
      <c r="C150" s="37" t="n"/>
      <c r="D150" s="37" t="n"/>
      <c r="E150" s="37" t="n"/>
      <c r="F150" s="37" t="n"/>
    </row>
    <row r="151">
      <c r="A151" s="37" t="n">
        <v>146</v>
      </c>
      <c r="B151" s="37" t="n"/>
      <c r="C151" s="37" t="n"/>
      <c r="D151" s="37" t="n"/>
      <c r="E151" s="37" t="n"/>
      <c r="F151" s="37" t="n"/>
    </row>
    <row r="152">
      <c r="A152" s="37" t="n">
        <v>147</v>
      </c>
      <c r="B152" s="37" t="n"/>
      <c r="C152" s="37" t="n"/>
      <c r="D152" s="37" t="n"/>
      <c r="E152" s="37" t="n"/>
      <c r="F152" s="37" t="n"/>
    </row>
    <row r="153">
      <c r="A153" s="37" t="n">
        <v>148</v>
      </c>
      <c r="B153" s="37" t="n"/>
      <c r="C153" s="37" t="n"/>
      <c r="D153" s="37" t="n"/>
      <c r="E153" s="37" t="n"/>
      <c r="F153" s="37" t="n"/>
    </row>
    <row r="154">
      <c r="A154" s="37" t="n">
        <v>149</v>
      </c>
      <c r="B154" s="37" t="n"/>
      <c r="C154" s="37" t="n"/>
      <c r="D154" s="37" t="n"/>
      <c r="E154" s="37" t="n"/>
      <c r="F154" s="37" t="n"/>
    </row>
    <row r="155">
      <c r="A155" s="37" t="n">
        <v>150</v>
      </c>
      <c r="B155" s="37" t="n"/>
      <c r="C155" s="37" t="n"/>
      <c r="D155" s="37" t="n"/>
      <c r="E155" s="37" t="n"/>
      <c r="F155" s="37" t="n"/>
    </row>
    <row r="156">
      <c r="A156" s="37" t="n">
        <v>151</v>
      </c>
      <c r="B156" s="37" t="n"/>
      <c r="C156" s="37" t="n"/>
      <c r="D156" s="37" t="n"/>
      <c r="E156" s="37" t="n"/>
      <c r="F156" s="37" t="n"/>
    </row>
    <row r="157">
      <c r="A157" s="37" t="n">
        <v>152</v>
      </c>
      <c r="B157" s="37" t="n"/>
      <c r="C157" s="37" t="n"/>
      <c r="D157" s="37" t="n"/>
      <c r="E157" s="37" t="n"/>
      <c r="F157" s="37" t="n"/>
    </row>
    <row r="158">
      <c r="A158" s="37" t="n">
        <v>153</v>
      </c>
      <c r="B158" s="37" t="n"/>
      <c r="C158" s="37" t="n"/>
      <c r="D158" s="37" t="n"/>
      <c r="E158" s="37" t="n"/>
      <c r="F158" s="37" t="n"/>
    </row>
    <row r="159">
      <c r="A159" s="37" t="n">
        <v>154</v>
      </c>
      <c r="B159" s="37" t="n"/>
      <c r="C159" s="37" t="n"/>
      <c r="D159" s="37" t="n"/>
      <c r="E159" s="37" t="n"/>
      <c r="F159" s="37" t="n"/>
    </row>
    <row r="160">
      <c r="A160" s="37" t="n">
        <v>155</v>
      </c>
      <c r="B160" s="37" t="n"/>
      <c r="C160" s="37" t="n"/>
      <c r="D160" s="37" t="n"/>
      <c r="E160" s="37" t="n"/>
      <c r="F160" s="37" t="n"/>
    </row>
    <row r="161">
      <c r="A161" s="37" t="n">
        <v>156</v>
      </c>
      <c r="B161" s="37" t="n"/>
      <c r="C161" s="37" t="n"/>
      <c r="D161" s="37" t="n"/>
      <c r="E161" s="37" t="n"/>
      <c r="F161" s="37" t="n"/>
    </row>
    <row r="162">
      <c r="A162" s="37" t="n">
        <v>157</v>
      </c>
      <c r="B162" s="37" t="n"/>
      <c r="C162" s="37" t="n"/>
      <c r="D162" s="37" t="n"/>
      <c r="E162" s="37" t="n"/>
      <c r="F162" s="37" t="n"/>
    </row>
    <row r="163">
      <c r="A163" s="37" t="n">
        <v>158</v>
      </c>
      <c r="B163" s="37" t="n"/>
      <c r="C163" s="37" t="n"/>
      <c r="D163" s="37" t="n"/>
      <c r="E163" s="37" t="n"/>
      <c r="F163" s="37" t="n"/>
    </row>
    <row r="164">
      <c r="A164" s="37" t="n">
        <v>159</v>
      </c>
      <c r="B164" s="37" t="n"/>
      <c r="C164" s="37" t="n"/>
      <c r="D164" s="37" t="n"/>
      <c r="E164" s="37" t="n"/>
      <c r="F164" s="37" t="n"/>
    </row>
    <row r="165">
      <c r="A165" s="37" t="n">
        <v>160</v>
      </c>
      <c r="B165" s="37" t="n"/>
      <c r="C165" s="37" t="n"/>
      <c r="D165" s="37" t="n"/>
      <c r="E165" s="37" t="n"/>
      <c r="F165" s="37" t="n"/>
    </row>
    <row r="166">
      <c r="A166" s="37" t="n">
        <v>161</v>
      </c>
      <c r="B166" s="37" t="n"/>
      <c r="C166" s="37" t="n"/>
      <c r="D166" s="37" t="n"/>
      <c r="E166" s="37" t="n"/>
      <c r="F166" s="37" t="n"/>
    </row>
    <row r="167">
      <c r="A167" s="37" t="n">
        <v>162</v>
      </c>
      <c r="B167" s="37" t="n"/>
      <c r="C167" s="37" t="n"/>
      <c r="D167" s="37" t="n"/>
      <c r="E167" s="37" t="n"/>
      <c r="F167" s="37" t="n"/>
    </row>
    <row r="168">
      <c r="A168" s="37" t="n">
        <v>163</v>
      </c>
      <c r="B168" s="37" t="n"/>
      <c r="C168" s="37" t="n"/>
      <c r="D168" s="37" t="n"/>
      <c r="E168" s="37" t="n"/>
      <c r="F168" s="37" t="n"/>
    </row>
    <row r="169">
      <c r="A169" s="37" t="n">
        <v>164</v>
      </c>
      <c r="B169" s="37" t="n"/>
      <c r="C169" s="37" t="n"/>
      <c r="D169" s="37" t="n"/>
      <c r="E169" s="37" t="n"/>
      <c r="F169" s="37" t="n"/>
    </row>
    <row r="170">
      <c r="A170" s="37" t="n">
        <v>165</v>
      </c>
      <c r="B170" s="37" t="n"/>
      <c r="C170" s="37" t="n"/>
      <c r="D170" s="37" t="n"/>
      <c r="E170" s="37" t="n"/>
      <c r="F170" s="37" t="n"/>
    </row>
    <row r="171">
      <c r="A171" s="37" t="n">
        <v>166</v>
      </c>
      <c r="B171" s="37" t="n"/>
      <c r="C171" s="37" t="n"/>
      <c r="D171" s="37" t="n"/>
      <c r="E171" s="37" t="n"/>
      <c r="F171" s="37" t="n"/>
    </row>
    <row r="172">
      <c r="A172" s="37" t="n">
        <v>167</v>
      </c>
      <c r="B172" s="37" t="n"/>
      <c r="C172" s="37" t="n"/>
      <c r="D172" s="37" t="n"/>
      <c r="E172" s="37" t="n"/>
      <c r="F172" s="37" t="n"/>
    </row>
    <row r="173">
      <c r="A173" s="37" t="n">
        <v>168</v>
      </c>
      <c r="B173" s="37" t="n"/>
      <c r="C173" s="37" t="n"/>
      <c r="D173" s="37" t="n"/>
      <c r="E173" s="37" t="n"/>
      <c r="F173" s="37" t="n"/>
    </row>
    <row r="174">
      <c r="A174" s="37" t="n">
        <v>169</v>
      </c>
      <c r="B174" s="37" t="n"/>
      <c r="C174" s="37" t="n"/>
      <c r="D174" s="37" t="n"/>
      <c r="E174" s="37" t="n"/>
      <c r="F174" s="37" t="n"/>
    </row>
    <row r="175">
      <c r="A175" s="37" t="n">
        <v>170</v>
      </c>
      <c r="B175" s="37" t="n"/>
      <c r="C175" s="37" t="n"/>
      <c r="D175" s="37" t="n"/>
      <c r="E175" s="37" t="n"/>
      <c r="F175" s="37" t="n"/>
    </row>
    <row r="176">
      <c r="A176" s="37" t="n">
        <v>171</v>
      </c>
      <c r="B176" s="37" t="n"/>
      <c r="C176" s="37" t="n"/>
      <c r="D176" s="37" t="n"/>
      <c r="E176" s="37" t="n"/>
      <c r="F176" s="37" t="n"/>
    </row>
    <row r="177">
      <c r="A177" s="37" t="n">
        <v>172</v>
      </c>
      <c r="B177" s="37" t="n"/>
      <c r="C177" s="37" t="n"/>
      <c r="D177" s="37" t="n"/>
      <c r="E177" s="37" t="n"/>
      <c r="F177" s="37" t="n"/>
    </row>
    <row r="178">
      <c r="A178" s="37" t="n">
        <v>173</v>
      </c>
      <c r="B178" s="37" t="n"/>
      <c r="C178" s="37" t="n"/>
      <c r="D178" s="37" t="n"/>
      <c r="E178" s="37" t="n"/>
      <c r="F178" s="37" t="n"/>
    </row>
    <row r="179">
      <c r="A179" s="37" t="n">
        <v>174</v>
      </c>
      <c r="B179" s="37" t="n"/>
      <c r="C179" s="37" t="n"/>
      <c r="D179" s="37" t="n"/>
      <c r="E179" s="37" t="n"/>
      <c r="F179" s="37" t="n"/>
    </row>
    <row r="180">
      <c r="A180" s="37" t="n">
        <v>175</v>
      </c>
      <c r="B180" s="37" t="n"/>
      <c r="C180" s="37" t="n"/>
      <c r="D180" s="37" t="n"/>
      <c r="E180" s="37" t="n"/>
      <c r="F180" s="37" t="n"/>
    </row>
    <row r="181">
      <c r="A181" s="37" t="n">
        <v>176</v>
      </c>
      <c r="B181" s="37" t="n"/>
      <c r="C181" s="37" t="n"/>
      <c r="D181" s="37" t="n"/>
      <c r="E181" s="37" t="n"/>
      <c r="F181" s="37" t="n"/>
    </row>
    <row r="182">
      <c r="A182" s="37" t="n">
        <v>177</v>
      </c>
      <c r="B182" s="37" t="n"/>
      <c r="C182" s="37" t="n"/>
      <c r="D182" s="37" t="n"/>
      <c r="E182" s="37" t="n"/>
      <c r="F182" s="37" t="n"/>
    </row>
    <row r="183">
      <c r="A183" s="37" t="n">
        <v>178</v>
      </c>
      <c r="B183" s="37" t="n"/>
      <c r="C183" s="37" t="n"/>
      <c r="D183" s="37" t="n"/>
      <c r="E183" s="37" t="n"/>
      <c r="F183" s="37" t="n"/>
    </row>
    <row r="184">
      <c r="A184" s="37" t="n">
        <v>179</v>
      </c>
      <c r="B184" s="37" t="n"/>
      <c r="C184" s="37" t="n"/>
      <c r="D184" s="37" t="n"/>
      <c r="E184" s="37" t="n"/>
      <c r="F184" s="37" t="n"/>
    </row>
    <row r="185">
      <c r="A185" s="37" t="n">
        <v>180</v>
      </c>
      <c r="B185" s="37" t="n"/>
      <c r="C185" s="37" t="n"/>
      <c r="D185" s="37" t="n"/>
      <c r="E185" s="37" t="n"/>
      <c r="F185" s="37" t="n"/>
    </row>
    <row r="186">
      <c r="A186" s="37" t="n">
        <v>181</v>
      </c>
      <c r="B186" s="37" t="n"/>
      <c r="C186" s="37" t="n"/>
      <c r="D186" s="37" t="n"/>
      <c r="E186" s="37" t="n"/>
      <c r="F186" s="37" t="n"/>
    </row>
    <row r="187">
      <c r="A187" s="37" t="n">
        <v>182</v>
      </c>
      <c r="B187" s="37" t="n"/>
      <c r="C187" s="37" t="n"/>
      <c r="D187" s="37" t="n"/>
      <c r="E187" s="37" t="n"/>
      <c r="F187" s="37" t="n"/>
    </row>
    <row r="188">
      <c r="A188" s="37" t="n">
        <v>183</v>
      </c>
      <c r="B188" s="37" t="n"/>
      <c r="C188" s="37" t="n"/>
      <c r="D188" s="37" t="n"/>
      <c r="E188" s="37" t="n"/>
      <c r="F188" s="37" t="n"/>
    </row>
    <row r="189">
      <c r="A189" s="37" t="n">
        <v>184</v>
      </c>
      <c r="B189" s="37" t="n"/>
      <c r="C189" s="37" t="n"/>
      <c r="D189" s="37" t="n"/>
      <c r="E189" s="37" t="n"/>
      <c r="F189" s="37" t="n"/>
    </row>
    <row r="190">
      <c r="A190" s="37" t="n">
        <v>185</v>
      </c>
      <c r="B190" s="37" t="n"/>
      <c r="C190" s="37" t="n"/>
      <c r="D190" s="37" t="n"/>
      <c r="E190" s="37" t="n"/>
      <c r="F190" s="37" t="n"/>
    </row>
    <row r="191">
      <c r="A191" s="37" t="n">
        <v>186</v>
      </c>
      <c r="B191" s="37" t="n"/>
      <c r="C191" s="37" t="n"/>
      <c r="D191" s="37" t="n"/>
      <c r="E191" s="37" t="n"/>
      <c r="F191" s="37" t="n"/>
    </row>
    <row r="192">
      <c r="A192" s="37" t="n">
        <v>187</v>
      </c>
      <c r="B192" s="37" t="n"/>
      <c r="C192" s="37" t="n"/>
      <c r="D192" s="37" t="n"/>
      <c r="E192" s="37" t="n"/>
      <c r="F192" s="37" t="n"/>
    </row>
    <row r="193">
      <c r="A193" s="37" t="n">
        <v>188</v>
      </c>
      <c r="B193" s="37" t="n"/>
      <c r="C193" s="37" t="n"/>
      <c r="D193" s="37" t="n"/>
      <c r="E193" s="37" t="n"/>
      <c r="F193" s="37" t="n"/>
    </row>
    <row r="194">
      <c r="A194" s="37" t="n">
        <v>189</v>
      </c>
      <c r="B194" s="37" t="n"/>
      <c r="C194" s="37" t="n"/>
      <c r="D194" s="37" t="n"/>
      <c r="E194" s="37" t="n"/>
      <c r="F194" s="37" t="n"/>
    </row>
    <row r="195">
      <c r="A195" s="37" t="n">
        <v>190</v>
      </c>
      <c r="B195" s="37" t="n"/>
      <c r="C195" s="37" t="n"/>
      <c r="D195" s="37" t="n"/>
      <c r="E195" s="37" t="n"/>
      <c r="F195" s="37" t="n"/>
    </row>
    <row r="196">
      <c r="A196" s="37" t="n">
        <v>191</v>
      </c>
      <c r="B196" s="37" t="n"/>
      <c r="C196" s="37" t="n"/>
      <c r="D196" s="37" t="n"/>
      <c r="E196" s="37" t="n"/>
      <c r="F196" s="37" t="n"/>
    </row>
    <row r="197">
      <c r="A197" s="37" t="n">
        <v>192</v>
      </c>
      <c r="B197" s="37" t="n"/>
      <c r="C197" s="37" t="n"/>
      <c r="D197" s="37" t="n"/>
      <c r="E197" s="37" t="n"/>
      <c r="F197" s="37" t="n"/>
    </row>
    <row r="198">
      <c r="A198" s="37" t="n">
        <v>193</v>
      </c>
      <c r="B198" s="37" t="n"/>
      <c r="C198" s="37" t="n"/>
      <c r="D198" s="37" t="n"/>
      <c r="E198" s="37" t="n"/>
      <c r="F198" s="37" t="n"/>
    </row>
    <row r="199">
      <c r="A199" s="37" t="n">
        <v>194</v>
      </c>
      <c r="B199" s="37" t="n"/>
      <c r="C199" s="37" t="n"/>
      <c r="D199" s="37" t="n"/>
      <c r="E199" s="37" t="n"/>
      <c r="F199" s="37" t="n"/>
    </row>
    <row r="200">
      <c r="A200" s="37" t="n">
        <v>195</v>
      </c>
      <c r="B200" s="37" t="n"/>
      <c r="C200" s="37" t="n"/>
      <c r="D200" s="37" t="n"/>
      <c r="E200" s="37" t="n"/>
      <c r="F200" s="37" t="n"/>
    </row>
    <row r="201">
      <c r="A201" s="37" t="n">
        <v>196</v>
      </c>
      <c r="B201" s="37" t="n"/>
      <c r="C201" s="37" t="n"/>
      <c r="D201" s="37" t="n"/>
      <c r="E201" s="37" t="n"/>
      <c r="F201" s="37" t="n"/>
    </row>
    <row r="202">
      <c r="A202" s="37" t="n">
        <v>197</v>
      </c>
      <c r="B202" s="37" t="n"/>
      <c r="C202" s="37" t="n"/>
      <c r="D202" s="37" t="n"/>
      <c r="E202" s="37" t="n"/>
      <c r="F202" s="37" t="n"/>
    </row>
    <row r="203">
      <c r="A203" s="37" t="n">
        <v>198</v>
      </c>
      <c r="B203" s="37" t="n"/>
      <c r="C203" s="37" t="n"/>
      <c r="D203" s="37" t="n"/>
      <c r="E203" s="37" t="n"/>
      <c r="F203" s="37" t="n"/>
    </row>
    <row r="204">
      <c r="A204" s="37" t="n">
        <v>199</v>
      </c>
      <c r="B204" s="37" t="n"/>
      <c r="C204" s="37" t="n"/>
      <c r="D204" s="37" t="n"/>
      <c r="E204" s="37" t="n"/>
      <c r="F204" s="37" t="n"/>
    </row>
    <row r="205">
      <c r="A205" s="37" t="n">
        <v>200</v>
      </c>
      <c r="B205" s="37" t="n"/>
      <c r="C205" s="37" t="n"/>
      <c r="D205" s="37" t="n"/>
      <c r="E205" s="37" t="n"/>
      <c r="F205" s="37" t="n"/>
    </row>
    <row r="207">
      <c r="A207" s="11" t="inlineStr">
        <is>
          <t>The four passenger questions and the four driver questions ask the same things in the same order, so they share these columns. The Role column keeps them apart when you group the answers.</t>
        </is>
      </c>
    </row>
  </sheetData>
  <mergeCells count="1">
    <mergeCell ref="A207:F20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2026-09-10T08:45:55Z</dcterms:created>
  <dcterms:modified xmlns:dcterms="http://purl.org/dc/terms/" xmlns:xsi="http://www.w3.org/2001/XMLSchema-instance" xsi:type="dcterms:W3CDTF">2026-09-10T08:46:33Z</dcterms:modified>
</cp:coreProperties>
</file>